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明细" sheetId="1" state="visible" r:id="rId1"/>
    <sheet name="经营总览" sheetId="2" state="visible" r:id="rId2"/>
    <sheet name="异常检查" sheetId="3" state="visible" r:id="rId3"/>
    <sheet name="城市渠道销售汇总" sheetId="4" state="visible" r:id="rId4"/>
  </sheets>
  <definedNames>
    <definedName name="_xlnm._FilterDatabase" localSheetId="0" hidden="1">'清洗明细'!$A$1:$O$361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F4E79"/>
      <sz val="14"/>
    </font>
    <font>
      <sz val="6"/>
    </font>
    <font>
      <name val="微软雅黑"/>
      <b val="1"/>
      <color rgb="001F4E79"/>
      <sz val="12"/>
    </font>
    <font>
      <name val="微软雅黑"/>
      <b val="1"/>
      <color rgb="00C00000"/>
      <sz val="12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月度销售额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'经营总览'!C14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'经营总览'!$A$15:$A$26</f>
            </numRef>
          </cat>
          <val>
            <numRef>
              <f>'经营总览'!$C$15:$C$26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销售额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各城市销售额占比</a:t>
            </a:r>
          </a:p>
        </rich>
      </tx>
    </title>
    <plotArea>
      <pieChart>
        <varyColors val="1"/>
        <ser>
          <idx val="0"/>
          <order val="0"/>
          <tx>
            <strRef>
              <f>'经营总览'!C29</f>
            </strRef>
          </tx>
          <spPr>
            <a:ln>
              <a:prstDash val="solid"/>
            </a:ln>
          </spPr>
          <cat>
            <numRef>
              <f>'经营总览'!$A$30:$A$35</f>
            </numRef>
          </cat>
          <val>
            <numRef>
              <f>'经营总览'!$C$30:$C$35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2026年各城市销售额汇总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'城市渠道销售汇总'!$A$30:$A$35</f>
            </numRef>
          </cat>
          <val>
            <numRef>
              <f>'城市渠道销售汇总'!$B$30:$B$35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城市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销售额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2026年Top20城市-渠道销售额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'城市渠道销售汇总'!$A$40:$A$59</f>
            </numRef>
          </cat>
          <val>
            <numRef>
              <f>'城市渠道销售汇总'!$B$40:$B$59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城市-渠道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销售额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36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27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38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8" customWidth="1" min="11" max="11"/>
    <col width="10" customWidth="1" min="12" max="12"/>
    <col width="30" customWidth="1" min="13" max="13"/>
    <col width="10" customWidth="1" min="14" max="14"/>
    <col width="10" customWidth="1" min="15" max="15"/>
  </cols>
  <sheetData>
    <row r="1">
      <c r="A1" s="1" t="inlineStr">
        <is>
          <t>原始行号</t>
        </is>
      </c>
      <c r="B1" s="1" t="inlineStr">
        <is>
          <t>订单ID</t>
        </is>
      </c>
      <c r="C1" s="1" t="inlineStr">
        <is>
          <t>日期</t>
        </is>
      </c>
      <c r="D1" s="1" t="inlineStr">
        <is>
          <t>城市</t>
        </is>
      </c>
      <c r="E1" s="1" t="inlineStr">
        <is>
          <t>渠道</t>
        </is>
      </c>
      <c r="F1" s="1" t="inlineStr">
        <is>
          <t>品类</t>
        </is>
      </c>
      <c r="G1" s="1" t="inlineStr">
        <is>
          <t>销售额</t>
        </is>
      </c>
      <c r="H1" s="1" t="inlineStr">
        <is>
          <t>成本</t>
        </is>
      </c>
      <c r="I1" s="1" t="inlineStr">
        <is>
          <t>配送时长(分钟)</t>
        </is>
      </c>
      <c r="J1" s="1" t="inlineStr">
        <is>
          <t>是否退货</t>
        </is>
      </c>
      <c r="K1" s="1" t="inlineStr">
        <is>
          <t>评分</t>
        </is>
      </c>
      <c r="L1" s="1" t="inlineStr">
        <is>
          <t>清洗状态</t>
        </is>
      </c>
      <c r="M1" s="1" t="inlineStr">
        <is>
          <t>异常原因</t>
        </is>
      </c>
      <c r="N1" s="1" t="inlineStr">
        <is>
          <t>毛利率</t>
        </is>
      </c>
      <c r="O1" s="1" t="inlineStr">
        <is>
          <t>利润</t>
        </is>
      </c>
    </row>
    <row r="2">
      <c r="A2" s="2" t="n">
        <v>2</v>
      </c>
      <c r="B2" s="2" t="inlineStr">
        <is>
          <t>OD00001</t>
        </is>
      </c>
      <c r="C2" s="2" t="inlineStr">
        <is>
          <t>2026-02-08</t>
        </is>
      </c>
      <c r="D2" s="2" t="inlineStr">
        <is>
          <t>南京</t>
        </is>
      </c>
      <c r="E2" s="2" t="inlineStr">
        <is>
          <t>外卖平台</t>
        </is>
      </c>
      <c r="F2" s="2" t="inlineStr">
        <is>
          <t>周边</t>
        </is>
      </c>
      <c r="G2" s="2" t="n">
        <v>679</v>
      </c>
      <c r="H2" s="2" t="n">
        <v>514</v>
      </c>
      <c r="I2" s="2" t="n">
        <v>41</v>
      </c>
      <c r="J2" s="2" t="inlineStr">
        <is>
          <t>否</t>
        </is>
      </c>
      <c r="K2" s="2" t="n">
        <v>4.1</v>
      </c>
      <c r="L2" s="2" t="inlineStr">
        <is>
          <t>有效</t>
        </is>
      </c>
      <c r="M2" s="3" t="inlineStr"/>
      <c r="N2" s="2">
        <f>(G2-H2)/G2</f>
        <v/>
      </c>
      <c r="O2" s="2">
        <f>G2-H2</f>
        <v/>
      </c>
    </row>
    <row r="3">
      <c r="A3" s="2" t="n">
        <v>3</v>
      </c>
      <c r="B3" s="2" t="inlineStr">
        <is>
          <t>OD00002</t>
        </is>
      </c>
      <c r="C3" s="2" t="inlineStr">
        <is>
          <t>2026-03-15</t>
        </is>
      </c>
      <c r="D3" s="2" t="inlineStr">
        <is>
          <t>上海</t>
        </is>
      </c>
      <c r="E3" s="2" t="inlineStr">
        <is>
          <t>小程序</t>
        </is>
      </c>
      <c r="F3" s="2" t="inlineStr">
        <is>
          <t>轻食</t>
        </is>
      </c>
      <c r="G3" s="2" t="n">
        <v>441</v>
      </c>
      <c r="H3" s="2" t="n">
        <v>203</v>
      </c>
      <c r="I3" s="2" t="n">
        <v>31</v>
      </c>
      <c r="J3" s="2" t="inlineStr">
        <is>
          <t>否</t>
        </is>
      </c>
      <c r="K3" s="2" t="n">
        <v>4.3</v>
      </c>
      <c r="L3" s="2" t="inlineStr">
        <is>
          <t>有效</t>
        </is>
      </c>
      <c r="M3" s="3" t="inlineStr"/>
      <c r="N3" s="2">
        <f>(G3-H3)/G3</f>
        <v/>
      </c>
      <c r="O3" s="2">
        <f>G3-H3</f>
        <v/>
      </c>
    </row>
    <row r="4">
      <c r="A4" s="2" t="n">
        <v>4</v>
      </c>
      <c r="B4" s="2" t="inlineStr">
        <is>
          <t>OD00003</t>
        </is>
      </c>
      <c r="C4" s="2" t="inlineStr">
        <is>
          <t>2026-04-22</t>
        </is>
      </c>
      <c r="D4" s="2" t="inlineStr">
        <is>
          <t>合肥</t>
        </is>
      </c>
      <c r="E4" s="2" t="inlineStr">
        <is>
          <t>企业团购</t>
        </is>
      </c>
      <c r="F4" s="2" t="inlineStr">
        <is>
          <t>烘焙</t>
        </is>
      </c>
      <c r="G4" s="2" t="n">
        <v>95</v>
      </c>
      <c r="H4" s="2" t="n">
        <v>59</v>
      </c>
      <c r="I4" s="2" t="n">
        <v>92</v>
      </c>
      <c r="J4" s="2" t="inlineStr">
        <is>
          <t>否</t>
        </is>
      </c>
      <c r="K4" s="2" t="n">
        <v>4.2</v>
      </c>
      <c r="L4" s="2" t="inlineStr">
        <is>
          <t>有效</t>
        </is>
      </c>
      <c r="M4" s="3" t="inlineStr"/>
      <c r="N4" s="2">
        <f>(G4-H4)/G4</f>
        <v/>
      </c>
      <c r="O4" s="2">
        <f>G4-H4</f>
        <v/>
      </c>
    </row>
    <row r="5">
      <c r="A5" s="2" t="n">
        <v>5</v>
      </c>
      <c r="B5" s="2" t="inlineStr">
        <is>
          <t>OD00004</t>
        </is>
      </c>
      <c r="C5" s="2" t="inlineStr">
        <is>
          <t>2026-05-02</t>
        </is>
      </c>
      <c r="D5" s="2" t="inlineStr">
        <is>
          <t>宁波</t>
        </is>
      </c>
      <c r="E5" s="2" t="inlineStr">
        <is>
          <t>外卖平台</t>
        </is>
      </c>
      <c r="F5" s="2" t="inlineStr">
        <is>
          <t>烘焙</t>
        </is>
      </c>
      <c r="G5" s="2" t="n">
        <v>329</v>
      </c>
      <c r="H5" s="2" t="n">
        <v>141</v>
      </c>
      <c r="I5" s="2" t="n">
        <v>67</v>
      </c>
      <c r="J5" s="2" t="inlineStr">
        <is>
          <t>否</t>
        </is>
      </c>
      <c r="K5" s="2" t="n">
        <v>3.3</v>
      </c>
      <c r="L5" s="2" t="inlineStr">
        <is>
          <t>有效</t>
        </is>
      </c>
      <c r="M5" s="3" t="inlineStr"/>
      <c r="N5" s="2">
        <f>(G5-H5)/G5</f>
        <v/>
      </c>
      <c r="O5" s="2">
        <f>G5-H5</f>
        <v/>
      </c>
    </row>
    <row r="6">
      <c r="A6" s="2" t="n">
        <v>6</v>
      </c>
      <c r="B6" s="2" t="inlineStr">
        <is>
          <t>OD00005</t>
        </is>
      </c>
      <c r="C6" s="2" t="inlineStr">
        <is>
          <t>2026-06-09</t>
        </is>
      </c>
      <c r="D6" s="2" t="inlineStr">
        <is>
          <t>宁波</t>
        </is>
      </c>
      <c r="E6" s="2" t="inlineStr">
        <is>
          <t>企业团购</t>
        </is>
      </c>
      <c r="F6" s="2" t="inlineStr">
        <is>
          <t>茶饮</t>
        </is>
      </c>
      <c r="G6" s="2" t="n">
        <v>117</v>
      </c>
      <c r="H6" s="2" t="n">
        <v>60</v>
      </c>
      <c r="I6" s="2" t="n">
        <v>44</v>
      </c>
      <c r="J6" s="2" t="inlineStr">
        <is>
          <t>否</t>
        </is>
      </c>
      <c r="K6" s="2" t="n">
        <v>4.1</v>
      </c>
      <c r="L6" s="2" t="inlineStr">
        <is>
          <t>有效</t>
        </is>
      </c>
      <c r="M6" s="3" t="inlineStr"/>
      <c r="N6" s="2">
        <f>(G6-H6)/G6</f>
        <v/>
      </c>
      <c r="O6" s="2">
        <f>G6-H6</f>
        <v/>
      </c>
    </row>
    <row r="7">
      <c r="A7" s="2" t="n">
        <v>7</v>
      </c>
      <c r="B7" s="2" t="inlineStr">
        <is>
          <t>OD00006</t>
        </is>
      </c>
      <c r="C7" s="2" t="inlineStr">
        <is>
          <t>2026-07-16</t>
        </is>
      </c>
      <c r="D7" s="2" t="inlineStr">
        <is>
          <t>上海</t>
        </is>
      </c>
      <c r="E7" s="2" t="inlineStr">
        <is>
          <t>企业团购</t>
        </is>
      </c>
      <c r="F7" s="2" t="inlineStr">
        <is>
          <t>茶饮</t>
        </is>
      </c>
      <c r="G7" s="2" t="n">
        <v>145</v>
      </c>
      <c r="H7" s="2" t="n">
        <v>85</v>
      </c>
      <c r="I7" s="2" t="n">
        <v>83</v>
      </c>
      <c r="J7" s="2" t="inlineStr">
        <is>
          <t>否</t>
        </is>
      </c>
      <c r="K7" s="2" t="n">
        <v>4.2</v>
      </c>
      <c r="L7" s="2" t="inlineStr">
        <is>
          <t>有效</t>
        </is>
      </c>
      <c r="M7" s="3" t="inlineStr"/>
      <c r="N7" s="2">
        <f>(G7-H7)/G7</f>
        <v/>
      </c>
      <c r="O7" s="2">
        <f>G7-H7</f>
        <v/>
      </c>
    </row>
    <row r="8">
      <c r="A8" s="2" t="n">
        <v>8</v>
      </c>
      <c r="B8" s="2" t="inlineStr">
        <is>
          <t>OD00007</t>
        </is>
      </c>
      <c r="C8" s="2" t="inlineStr">
        <is>
          <t>2026-08-23</t>
        </is>
      </c>
      <c r="D8" s="2" t="inlineStr">
        <is>
          <t>宁波</t>
        </is>
      </c>
      <c r="E8" s="2" t="inlineStr">
        <is>
          <t>门店</t>
        </is>
      </c>
      <c r="F8" s="2" t="inlineStr">
        <is>
          <t>烘焙</t>
        </is>
      </c>
      <c r="G8" s="2" t="n">
        <v>371</v>
      </c>
      <c r="H8" s="2" t="n">
        <v>256</v>
      </c>
      <c r="I8" s="2" t="n">
        <v>69</v>
      </c>
      <c r="J8" s="2" t="inlineStr">
        <is>
          <t>是</t>
        </is>
      </c>
      <c r="K8" s="2" t="n">
        <v>5</v>
      </c>
      <c r="L8" s="2" t="inlineStr">
        <is>
          <t>有效</t>
        </is>
      </c>
      <c r="M8" s="3" t="inlineStr"/>
      <c r="N8" s="2">
        <f>(G8-H8)/G8</f>
        <v/>
      </c>
      <c r="O8" s="2">
        <f>G8-H8</f>
        <v/>
      </c>
    </row>
    <row r="9">
      <c r="A9" s="2" t="n">
        <v>9</v>
      </c>
      <c r="B9" s="2" t="inlineStr">
        <is>
          <t>OD00008</t>
        </is>
      </c>
      <c r="C9" s="2" t="inlineStr">
        <is>
          <t>2026-09-03</t>
        </is>
      </c>
      <c r="D9" s="2" t="inlineStr">
        <is>
          <t>宁波</t>
        </is>
      </c>
      <c r="E9" s="2" t="inlineStr">
        <is>
          <t>门店</t>
        </is>
      </c>
      <c r="F9" s="2" t="inlineStr">
        <is>
          <t>烘焙</t>
        </is>
      </c>
      <c r="G9" s="2" t="n">
        <v>327</v>
      </c>
      <c r="H9" s="2" t="n">
        <v>244</v>
      </c>
      <c r="I9" s="2" t="n">
        <v>29</v>
      </c>
      <c r="J9" s="2" t="inlineStr">
        <is>
          <t>否</t>
        </is>
      </c>
      <c r="K9" s="2" t="n">
        <v>3.2</v>
      </c>
      <c r="L9" s="2" t="inlineStr">
        <is>
          <t>有效</t>
        </is>
      </c>
      <c r="M9" s="3" t="inlineStr"/>
      <c r="N9" s="2">
        <f>(G9-H9)/G9</f>
        <v/>
      </c>
      <c r="O9" s="2">
        <f>G9-H9</f>
        <v/>
      </c>
    </row>
    <row r="10">
      <c r="A10" s="2" t="n">
        <v>10</v>
      </c>
      <c r="B10" s="2" t="inlineStr">
        <is>
          <t>OD00009</t>
        </is>
      </c>
      <c r="C10" s="2" t="inlineStr">
        <is>
          <t>2026-10-10</t>
        </is>
      </c>
      <c r="D10" s="2" t="inlineStr">
        <is>
          <t>宁波</t>
        </is>
      </c>
      <c r="E10" s="2" t="inlineStr">
        <is>
          <t>企业团购</t>
        </is>
      </c>
      <c r="F10" s="2" t="inlineStr">
        <is>
          <t>咖啡</t>
        </is>
      </c>
      <c r="G10" s="2" t="n">
        <v>629</v>
      </c>
      <c r="H10" s="2" t="n">
        <v>399</v>
      </c>
      <c r="I10" s="2" t="n">
        <v>65</v>
      </c>
      <c r="J10" s="2" t="inlineStr">
        <is>
          <t>否</t>
        </is>
      </c>
      <c r="K10" s="2" t="n">
        <v>4.3</v>
      </c>
      <c r="L10" s="2" t="inlineStr">
        <is>
          <t>有效</t>
        </is>
      </c>
      <c r="M10" s="3" t="inlineStr"/>
      <c r="N10" s="2">
        <f>(G10-H10)/G10</f>
        <v/>
      </c>
      <c r="O10" s="2">
        <f>G10-H10</f>
        <v/>
      </c>
    </row>
    <row r="11">
      <c r="A11" s="2" t="n">
        <v>11</v>
      </c>
      <c r="B11" s="2" t="inlineStr">
        <is>
          <t>OD00010</t>
        </is>
      </c>
      <c r="C11" s="2" t="inlineStr">
        <is>
          <t>2026-11-17</t>
        </is>
      </c>
      <c r="D11" s="2" t="inlineStr">
        <is>
          <t>苏州</t>
        </is>
      </c>
      <c r="E11" s="2" t="inlineStr">
        <is>
          <t>外卖平台</t>
        </is>
      </c>
      <c r="F11" s="2" t="inlineStr">
        <is>
          <t>周边</t>
        </is>
      </c>
      <c r="G11" s="2" t="n">
        <v>429</v>
      </c>
      <c r="H11" s="2" t="n">
        <v>309</v>
      </c>
      <c r="I11" s="2" t="n">
        <v>44</v>
      </c>
      <c r="J11" s="2" t="inlineStr">
        <is>
          <t>否</t>
        </is>
      </c>
      <c r="K11" s="2" t="n">
        <v>4</v>
      </c>
      <c r="L11" s="2" t="inlineStr">
        <is>
          <t>有效</t>
        </is>
      </c>
      <c r="M11" s="3" t="inlineStr"/>
      <c r="N11" s="2">
        <f>(G11-H11)/G11</f>
        <v/>
      </c>
      <c r="O11" s="2">
        <f>G11-H11</f>
        <v/>
      </c>
    </row>
    <row r="12">
      <c r="A12" s="2" t="n">
        <v>12</v>
      </c>
      <c r="B12" s="2" t="inlineStr">
        <is>
          <t>OD00011</t>
        </is>
      </c>
      <c r="C12" s="2" t="inlineStr">
        <is>
          <t>2026-12-24</t>
        </is>
      </c>
      <c r="D12" s="2" t="inlineStr">
        <is>
          <t>宁波</t>
        </is>
      </c>
      <c r="E12" s="2" t="inlineStr">
        <is>
          <t>小程序</t>
        </is>
      </c>
      <c r="F12" s="2" t="inlineStr">
        <is>
          <t>茶饮</t>
        </is>
      </c>
      <c r="G12" s="2" t="n">
        <v>344</v>
      </c>
      <c r="H12" s="2" t="n">
        <v>254</v>
      </c>
      <c r="I12" s="2" t="n">
        <v>29</v>
      </c>
      <c r="J12" s="2" t="inlineStr">
        <is>
          <t>否</t>
        </is>
      </c>
      <c r="K12" s="2" t="n">
        <v>3.3</v>
      </c>
      <c r="L12" s="2" t="inlineStr">
        <is>
          <t>有效</t>
        </is>
      </c>
      <c r="M12" s="3" t="inlineStr"/>
      <c r="N12" s="2">
        <f>(G12-H12)/G12</f>
        <v/>
      </c>
      <c r="O12" s="2">
        <f>G12-H12</f>
        <v/>
      </c>
    </row>
    <row r="13">
      <c r="A13" s="2" t="n">
        <v>13</v>
      </c>
      <c r="B13" s="2" t="inlineStr">
        <is>
          <t>OD00012</t>
        </is>
      </c>
      <c r="C13" s="2" t="inlineStr">
        <is>
          <t>2026-01-04</t>
        </is>
      </c>
      <c r="D13" s="2" t="inlineStr">
        <is>
          <t>南京</t>
        </is>
      </c>
      <c r="E13" s="2" t="inlineStr">
        <is>
          <t>外卖平台</t>
        </is>
      </c>
      <c r="F13" s="2" t="inlineStr">
        <is>
          <t>烘焙</t>
        </is>
      </c>
      <c r="G13" s="2" t="n">
        <v>267</v>
      </c>
      <c r="H13" s="2" t="n">
        <v>115</v>
      </c>
      <c r="I13" s="2" t="n">
        <v>66</v>
      </c>
      <c r="J13" s="2" t="inlineStr">
        <is>
          <t>否</t>
        </is>
      </c>
      <c r="K13" s="2" t="n">
        <v>4.1</v>
      </c>
      <c r="L13" s="2" t="inlineStr">
        <is>
          <t>有效</t>
        </is>
      </c>
      <c r="M13" s="3" t="inlineStr"/>
      <c r="N13" s="2">
        <f>(G13-H13)/G13</f>
        <v/>
      </c>
      <c r="O13" s="2">
        <f>G13-H13</f>
        <v/>
      </c>
    </row>
    <row r="14">
      <c r="A14" s="2" t="n">
        <v>14</v>
      </c>
      <c r="B14" s="2" t="inlineStr">
        <is>
          <t>OD00013</t>
        </is>
      </c>
      <c r="C14" s="2" t="inlineStr">
        <is>
          <t>2026-02-11</t>
        </is>
      </c>
      <c r="D14" s="2" t="inlineStr">
        <is>
          <t>上海</t>
        </is>
      </c>
      <c r="E14" s="2" t="inlineStr">
        <is>
          <t>门店</t>
        </is>
      </c>
      <c r="F14" s="2" t="inlineStr">
        <is>
          <t>轻食</t>
        </is>
      </c>
      <c r="G14" s="2" t="n">
        <v>562</v>
      </c>
      <c r="H14" s="2" t="n">
        <v>290</v>
      </c>
      <c r="I14" s="2" t="n">
        <v>51</v>
      </c>
      <c r="J14" s="2" t="inlineStr">
        <is>
          <t>否</t>
        </is>
      </c>
      <c r="K14" s="2" t="n">
        <v>3.9</v>
      </c>
      <c r="L14" s="2" t="inlineStr">
        <is>
          <t>有效</t>
        </is>
      </c>
      <c r="M14" s="3" t="inlineStr"/>
      <c r="N14" s="2">
        <f>(G14-H14)/G14</f>
        <v/>
      </c>
      <c r="O14" s="2">
        <f>G14-H14</f>
        <v/>
      </c>
    </row>
    <row r="15">
      <c r="A15" s="2" t="n">
        <v>15</v>
      </c>
      <c r="B15" s="2" t="inlineStr">
        <is>
          <t>OD00014</t>
        </is>
      </c>
      <c r="C15" s="2" t="inlineStr">
        <is>
          <t>2026-03-18</t>
        </is>
      </c>
      <c r="D15" s="2" t="inlineStr">
        <is>
          <t>上海</t>
        </is>
      </c>
      <c r="E15" s="2" t="inlineStr">
        <is>
          <t>企业团购</t>
        </is>
      </c>
      <c r="F15" s="2" t="inlineStr">
        <is>
          <t>烘焙</t>
        </is>
      </c>
      <c r="G15" s="2" t="n">
        <v>240</v>
      </c>
      <c r="H15" s="2" t="n">
        <v>151</v>
      </c>
      <c r="I15" s="2" t="n">
        <v>31</v>
      </c>
      <c r="J15" s="2" t="inlineStr">
        <is>
          <t>否</t>
        </is>
      </c>
      <c r="K15" s="2" t="n">
        <v>4.4</v>
      </c>
      <c r="L15" s="2" t="inlineStr">
        <is>
          <t>有效</t>
        </is>
      </c>
      <c r="M15" s="3" t="inlineStr"/>
      <c r="N15" s="2">
        <f>(G15-H15)/G15</f>
        <v/>
      </c>
      <c r="O15" s="2">
        <f>G15-H15</f>
        <v/>
      </c>
    </row>
    <row r="16">
      <c r="A16" s="2" t="n">
        <v>16</v>
      </c>
      <c r="B16" s="2" t="inlineStr">
        <is>
          <t>OD00015</t>
        </is>
      </c>
      <c r="C16" s="2" t="inlineStr">
        <is>
          <t>2026-04-25</t>
        </is>
      </c>
      <c r="D16" s="2" t="inlineStr">
        <is>
          <t>合肥</t>
        </is>
      </c>
      <c r="E16" s="2" t="inlineStr">
        <is>
          <t>门店</t>
        </is>
      </c>
      <c r="F16" s="2" t="inlineStr">
        <is>
          <t>咖啡</t>
        </is>
      </c>
      <c r="G16" s="2" t="n">
        <v>647</v>
      </c>
      <c r="H16" s="2" t="n">
        <v>354</v>
      </c>
      <c r="I16" s="2" t="n">
        <v>47</v>
      </c>
      <c r="J16" s="2" t="inlineStr">
        <is>
          <t>否</t>
        </is>
      </c>
      <c r="K16" s="2" t="n">
        <v>3.7</v>
      </c>
      <c r="L16" s="2" t="inlineStr">
        <is>
          <t>有效</t>
        </is>
      </c>
      <c r="M16" s="3" t="inlineStr"/>
      <c r="N16" s="2">
        <f>(G16-H16)/G16</f>
        <v/>
      </c>
      <c r="O16" s="2">
        <f>G16-H16</f>
        <v/>
      </c>
    </row>
    <row r="17">
      <c r="A17" s="2" t="n">
        <v>17</v>
      </c>
      <c r="B17" s="2" t="inlineStr">
        <is>
          <t>OD00016</t>
        </is>
      </c>
      <c r="C17" s="2" t="inlineStr">
        <is>
          <t>2026-05-05</t>
        </is>
      </c>
      <c r="D17" s="2" t="inlineStr">
        <is>
          <t>宁波</t>
        </is>
      </c>
      <c r="E17" s="2" t="inlineStr">
        <is>
          <t>门店</t>
        </is>
      </c>
      <c r="F17" s="2" t="inlineStr">
        <is>
          <t>咖啡</t>
        </is>
      </c>
      <c r="G17" s="2" t="n">
        <v>270</v>
      </c>
      <c r="H17" s="2" t="n">
        <v>204</v>
      </c>
      <c r="I17" s="2" t="n">
        <v>20</v>
      </c>
      <c r="J17" s="2" t="inlineStr">
        <is>
          <t>否</t>
        </is>
      </c>
      <c r="K17" s="2" t="n">
        <v>4.2</v>
      </c>
      <c r="L17" s="2" t="inlineStr">
        <is>
          <t>有效</t>
        </is>
      </c>
      <c r="M17" s="3" t="inlineStr"/>
      <c r="N17" s="2">
        <f>(G17-H17)/G17</f>
        <v/>
      </c>
      <c r="O17" s="2">
        <f>G17-H17</f>
        <v/>
      </c>
    </row>
    <row r="18">
      <c r="A18" s="4" t="n">
        <v>18</v>
      </c>
      <c r="B18" s="4" t="inlineStr">
        <is>
          <t>OD00017</t>
        </is>
      </c>
      <c r="C18" s="4" t="inlineStr">
        <is>
          <t>2026-06-12</t>
        </is>
      </c>
      <c r="D18" s="4" t="inlineStr">
        <is>
          <t>苏州</t>
        </is>
      </c>
      <c r="E18" s="4" t="inlineStr">
        <is>
          <t>企业团购</t>
        </is>
      </c>
      <c r="F18" s="4" t="inlineStr">
        <is>
          <t>烘焙</t>
        </is>
      </c>
      <c r="G18" s="4" t="inlineStr"/>
      <c r="H18" s="4" t="n">
        <v>105</v>
      </c>
      <c r="I18" s="4" t="n">
        <v>83</v>
      </c>
      <c r="J18" s="4" t="inlineStr">
        <is>
          <t>否</t>
        </is>
      </c>
      <c r="K18" s="4" t="n">
        <v>4.8</v>
      </c>
      <c r="L18" s="4" t="inlineStr">
        <is>
          <t>异常</t>
        </is>
      </c>
      <c r="M18" s="5" t="inlineStr">
        <is>
          <t>销售额缺失</t>
        </is>
      </c>
      <c r="N18" s="4" t="inlineStr">
        <is>
          <t>N/A</t>
        </is>
      </c>
      <c r="O18" s="4" t="inlineStr">
        <is>
          <t>N/A</t>
        </is>
      </c>
    </row>
    <row r="19">
      <c r="A19" s="2" t="n">
        <v>19</v>
      </c>
      <c r="B19" s="2" t="inlineStr">
        <is>
          <t>OD00018</t>
        </is>
      </c>
      <c r="C19" s="2" t="inlineStr">
        <is>
          <t>2026-07-19</t>
        </is>
      </c>
      <c r="D19" s="2" t="inlineStr">
        <is>
          <t>合肥</t>
        </is>
      </c>
      <c r="E19" s="2" t="inlineStr">
        <is>
          <t>门店</t>
        </is>
      </c>
      <c r="F19" s="2" t="inlineStr">
        <is>
          <t>烘焙</t>
        </is>
      </c>
      <c r="G19" s="2" t="n">
        <v>573</v>
      </c>
      <c r="H19" s="2" t="n">
        <v>256</v>
      </c>
      <c r="I19" s="2" t="n">
        <v>63</v>
      </c>
      <c r="J19" s="2" t="inlineStr">
        <is>
          <t>否</t>
        </is>
      </c>
      <c r="K19" s="2" t="n">
        <v>3.7</v>
      </c>
      <c r="L19" s="2" t="inlineStr">
        <is>
          <t>有效</t>
        </is>
      </c>
      <c r="M19" s="3" t="inlineStr"/>
      <c r="N19" s="2">
        <f>(G19-H19)/G19</f>
        <v/>
      </c>
      <c r="O19" s="2">
        <f>G19-H19</f>
        <v/>
      </c>
    </row>
    <row r="20">
      <c r="A20" s="2" t="n">
        <v>20</v>
      </c>
      <c r="B20" s="2" t="inlineStr">
        <is>
          <t>OD00019</t>
        </is>
      </c>
      <c r="C20" s="2" t="inlineStr">
        <is>
          <t>2026-08-26</t>
        </is>
      </c>
      <c r="D20" s="2" t="inlineStr">
        <is>
          <t>杭州</t>
        </is>
      </c>
      <c r="E20" s="2" t="inlineStr">
        <is>
          <t>门店</t>
        </is>
      </c>
      <c r="F20" s="2" t="inlineStr">
        <is>
          <t>周边</t>
        </is>
      </c>
      <c r="G20" s="2" t="n">
        <v>116</v>
      </c>
      <c r="H20" s="2" t="n">
        <v>85</v>
      </c>
      <c r="I20" s="2" t="n">
        <v>35</v>
      </c>
      <c r="J20" s="2" t="inlineStr">
        <is>
          <t>否</t>
        </is>
      </c>
      <c r="K20" s="2" t="n">
        <v>3.5</v>
      </c>
      <c r="L20" s="2" t="inlineStr">
        <is>
          <t>有效</t>
        </is>
      </c>
      <c r="M20" s="3" t="inlineStr"/>
      <c r="N20" s="2">
        <f>(G20-H20)/G20</f>
        <v/>
      </c>
      <c r="O20" s="2">
        <f>G20-H20</f>
        <v/>
      </c>
    </row>
    <row r="21">
      <c r="A21" s="2" t="n">
        <v>21</v>
      </c>
      <c r="B21" s="2" t="inlineStr">
        <is>
          <t>OD00020</t>
        </is>
      </c>
      <c r="C21" s="2" t="inlineStr">
        <is>
          <t>2026-09-06</t>
        </is>
      </c>
      <c r="D21" s="2" t="inlineStr">
        <is>
          <t>合肥</t>
        </is>
      </c>
      <c r="E21" s="2" t="inlineStr">
        <is>
          <t>小程序</t>
        </is>
      </c>
      <c r="F21" s="2" t="inlineStr">
        <is>
          <t>茶饮</t>
        </is>
      </c>
      <c r="G21" s="2" t="n">
        <v>489</v>
      </c>
      <c r="H21" s="2" t="n">
        <v>217</v>
      </c>
      <c r="I21" s="2" t="n">
        <v>82</v>
      </c>
      <c r="J21" s="2" t="inlineStr">
        <is>
          <t>否</t>
        </is>
      </c>
      <c r="K21" s="2" t="n">
        <v>5</v>
      </c>
      <c r="L21" s="2" t="inlineStr">
        <is>
          <t>有效</t>
        </is>
      </c>
      <c r="M21" s="3" t="inlineStr"/>
      <c r="N21" s="2">
        <f>(G21-H21)/G21</f>
        <v/>
      </c>
      <c r="O21" s="2">
        <f>G21-H21</f>
        <v/>
      </c>
    </row>
    <row r="22">
      <c r="A22" s="2" t="n">
        <v>22</v>
      </c>
      <c r="B22" s="2" t="inlineStr">
        <is>
          <t>OD00021</t>
        </is>
      </c>
      <c r="C22" s="2" t="inlineStr">
        <is>
          <t>2026-10-13</t>
        </is>
      </c>
      <c r="D22" s="2" t="inlineStr">
        <is>
          <t>上海</t>
        </is>
      </c>
      <c r="E22" s="2" t="inlineStr">
        <is>
          <t>外卖平台</t>
        </is>
      </c>
      <c r="F22" s="2" t="inlineStr">
        <is>
          <t>茶饮</t>
        </is>
      </c>
      <c r="G22" s="2" t="n">
        <v>91</v>
      </c>
      <c r="H22" s="2" t="n">
        <v>42</v>
      </c>
      <c r="I22" s="2" t="n">
        <v>43</v>
      </c>
      <c r="J22" s="2" t="inlineStr">
        <is>
          <t>否</t>
        </is>
      </c>
      <c r="K22" s="2" t="n">
        <v>3.6</v>
      </c>
      <c r="L22" s="2" t="inlineStr">
        <is>
          <t>有效</t>
        </is>
      </c>
      <c r="M22" s="3" t="inlineStr"/>
      <c r="N22" s="2">
        <f>(G22-H22)/G22</f>
        <v/>
      </c>
      <c r="O22" s="2">
        <f>G22-H22</f>
        <v/>
      </c>
    </row>
    <row r="23">
      <c r="A23" s="2" t="n">
        <v>23</v>
      </c>
      <c r="B23" s="2" t="inlineStr">
        <is>
          <t>OD00022</t>
        </is>
      </c>
      <c r="C23" s="2" t="inlineStr">
        <is>
          <t>2026-11-20</t>
        </is>
      </c>
      <c r="D23" s="2" t="inlineStr">
        <is>
          <t>南京</t>
        </is>
      </c>
      <c r="E23" s="2" t="inlineStr">
        <is>
          <t>企业团购</t>
        </is>
      </c>
      <c r="F23" s="2" t="inlineStr">
        <is>
          <t>茶饮</t>
        </is>
      </c>
      <c r="G23" s="2" t="n">
        <v>371</v>
      </c>
      <c r="H23" s="2" t="n">
        <v>166</v>
      </c>
      <c r="I23" s="2" t="n">
        <v>49</v>
      </c>
      <c r="J23" s="2" t="inlineStr">
        <is>
          <t>否</t>
        </is>
      </c>
      <c r="K23" s="2" t="n">
        <v>3.2</v>
      </c>
      <c r="L23" s="2" t="inlineStr">
        <is>
          <t>有效</t>
        </is>
      </c>
      <c r="M23" s="3" t="inlineStr"/>
      <c r="N23" s="2">
        <f>(G23-H23)/G23</f>
        <v/>
      </c>
      <c r="O23" s="2">
        <f>G23-H23</f>
        <v/>
      </c>
    </row>
    <row r="24">
      <c r="A24" s="2" t="n">
        <v>24</v>
      </c>
      <c r="B24" s="2" t="inlineStr">
        <is>
          <t>OD00023</t>
        </is>
      </c>
      <c r="C24" s="2" t="inlineStr">
        <is>
          <t>2026-12-27</t>
        </is>
      </c>
      <c r="D24" s="2" t="inlineStr">
        <is>
          <t>苏州</t>
        </is>
      </c>
      <c r="E24" s="2" t="inlineStr">
        <is>
          <t>门店</t>
        </is>
      </c>
      <c r="F24" s="2" t="inlineStr">
        <is>
          <t>轻食</t>
        </is>
      </c>
      <c r="G24" s="2" t="n">
        <v>251</v>
      </c>
      <c r="H24" s="2" t="n">
        <v>180</v>
      </c>
      <c r="I24" s="2" t="n">
        <v>33</v>
      </c>
      <c r="J24" s="2" t="inlineStr">
        <is>
          <t>否</t>
        </is>
      </c>
      <c r="K24" s="2" t="n">
        <v>4.2</v>
      </c>
      <c r="L24" s="2" t="inlineStr">
        <is>
          <t>有效</t>
        </is>
      </c>
      <c r="M24" s="3" t="inlineStr"/>
      <c r="N24" s="2">
        <f>(G24-H24)/G24</f>
        <v/>
      </c>
      <c r="O24" s="2">
        <f>G24-H24</f>
        <v/>
      </c>
    </row>
    <row r="25">
      <c r="A25" s="2" t="n">
        <v>25</v>
      </c>
      <c r="B25" s="2" t="inlineStr">
        <is>
          <t>OD00024</t>
        </is>
      </c>
      <c r="C25" s="2" t="inlineStr">
        <is>
          <t>2026-01-07</t>
        </is>
      </c>
      <c r="D25" s="2" t="inlineStr">
        <is>
          <t>南京</t>
        </is>
      </c>
      <c r="E25" s="2" t="inlineStr">
        <is>
          <t>小程序</t>
        </is>
      </c>
      <c r="F25" s="2" t="inlineStr">
        <is>
          <t>咖啡</t>
        </is>
      </c>
      <c r="G25" s="2" t="n">
        <v>158</v>
      </c>
      <c r="H25" s="2" t="n">
        <v>78</v>
      </c>
      <c r="I25" s="2" t="n">
        <v>19</v>
      </c>
      <c r="J25" s="2" t="inlineStr">
        <is>
          <t>否</t>
        </is>
      </c>
      <c r="K25" s="2" t="n">
        <v>4.9</v>
      </c>
      <c r="L25" s="2" t="inlineStr">
        <is>
          <t>有效</t>
        </is>
      </c>
      <c r="M25" s="3" t="inlineStr"/>
      <c r="N25" s="2">
        <f>(G25-H25)/G25</f>
        <v/>
      </c>
      <c r="O25" s="2">
        <f>G25-H25</f>
        <v/>
      </c>
    </row>
    <row r="26">
      <c r="A26" s="2" t="n">
        <v>26</v>
      </c>
      <c r="B26" s="2" t="inlineStr">
        <is>
          <t>OD00025</t>
        </is>
      </c>
      <c r="C26" s="2" t="inlineStr">
        <is>
          <t>2026-02-14</t>
        </is>
      </c>
      <c r="D26" s="2" t="inlineStr">
        <is>
          <t>苏州</t>
        </is>
      </c>
      <c r="E26" s="2" t="inlineStr">
        <is>
          <t>企业团购</t>
        </is>
      </c>
      <c r="F26" s="2" t="inlineStr">
        <is>
          <t>周边</t>
        </is>
      </c>
      <c r="G26" s="2" t="n">
        <v>81</v>
      </c>
      <c r="H26" s="2" t="n">
        <v>53</v>
      </c>
      <c r="I26" s="2" t="n">
        <v>76</v>
      </c>
      <c r="J26" s="2" t="inlineStr">
        <is>
          <t>否</t>
        </is>
      </c>
      <c r="K26" s="2" t="n">
        <v>3.7</v>
      </c>
      <c r="L26" s="2" t="inlineStr">
        <is>
          <t>有效</t>
        </is>
      </c>
      <c r="M26" s="3" t="inlineStr"/>
      <c r="N26" s="2">
        <f>(G26-H26)/G26</f>
        <v/>
      </c>
      <c r="O26" s="2">
        <f>G26-H26</f>
        <v/>
      </c>
    </row>
    <row r="27">
      <c r="A27" s="2" t="n">
        <v>27</v>
      </c>
      <c r="B27" s="2" t="inlineStr">
        <is>
          <t>OD00026</t>
        </is>
      </c>
      <c r="C27" s="2" t="inlineStr">
        <is>
          <t>2026-03-21</t>
        </is>
      </c>
      <c r="D27" s="2" t="inlineStr">
        <is>
          <t>苏州</t>
        </is>
      </c>
      <c r="E27" s="2" t="inlineStr">
        <is>
          <t>企业团购</t>
        </is>
      </c>
      <c r="F27" s="2" t="inlineStr">
        <is>
          <t>茶饮</t>
        </is>
      </c>
      <c r="G27" s="2" t="n">
        <v>459</v>
      </c>
      <c r="H27" s="2" t="n">
        <v>291</v>
      </c>
      <c r="I27" s="2" t="n">
        <v>66</v>
      </c>
      <c r="J27" s="2" t="inlineStr">
        <is>
          <t>否</t>
        </is>
      </c>
      <c r="K27" s="2" t="n">
        <v>3.5</v>
      </c>
      <c r="L27" s="2" t="inlineStr">
        <is>
          <t>有效</t>
        </is>
      </c>
      <c r="M27" s="3" t="inlineStr"/>
      <c r="N27" s="2">
        <f>(G27-H27)/G27</f>
        <v/>
      </c>
      <c r="O27" s="2">
        <f>G27-H27</f>
        <v/>
      </c>
    </row>
    <row r="28">
      <c r="A28" s="2" t="n">
        <v>28</v>
      </c>
      <c r="B28" s="2" t="inlineStr">
        <is>
          <t>OD00027</t>
        </is>
      </c>
      <c r="C28" s="2" t="inlineStr">
        <is>
          <t>2026-04-01</t>
        </is>
      </c>
      <c r="D28" s="2" t="inlineStr">
        <is>
          <t>合肥</t>
        </is>
      </c>
      <c r="E28" s="2" t="inlineStr">
        <is>
          <t>门店</t>
        </is>
      </c>
      <c r="F28" s="2" t="inlineStr">
        <is>
          <t>轻食</t>
        </is>
      </c>
      <c r="G28" s="2" t="n">
        <v>606</v>
      </c>
      <c r="H28" s="2" t="n">
        <v>310</v>
      </c>
      <c r="I28" s="2" t="n">
        <v>81</v>
      </c>
      <c r="J28" s="2" t="inlineStr">
        <is>
          <t>是</t>
        </is>
      </c>
      <c r="K28" s="2" t="n">
        <v>4.1</v>
      </c>
      <c r="L28" s="2" t="inlineStr">
        <is>
          <t>有效</t>
        </is>
      </c>
      <c r="M28" s="3" t="inlineStr"/>
      <c r="N28" s="2">
        <f>(G28-H28)/G28</f>
        <v/>
      </c>
      <c r="O28" s="2">
        <f>G28-H28</f>
        <v/>
      </c>
    </row>
    <row r="29">
      <c r="A29" s="2" t="n">
        <v>29</v>
      </c>
      <c r="B29" s="2" t="inlineStr">
        <is>
          <t>OD00028</t>
        </is>
      </c>
      <c r="C29" s="2" t="inlineStr">
        <is>
          <t>2026-05-08</t>
        </is>
      </c>
      <c r="D29" s="2" t="inlineStr">
        <is>
          <t>苏州</t>
        </is>
      </c>
      <c r="E29" s="2" t="inlineStr">
        <is>
          <t>外卖平台</t>
        </is>
      </c>
      <c r="F29" s="2" t="inlineStr">
        <is>
          <t>咖啡</t>
        </is>
      </c>
      <c r="G29" s="2" t="n">
        <v>334</v>
      </c>
      <c r="H29" s="2" t="n">
        <v>154</v>
      </c>
      <c r="I29" s="2" t="n">
        <v>25</v>
      </c>
      <c r="J29" s="2" t="inlineStr">
        <is>
          <t>否</t>
        </is>
      </c>
      <c r="K29" s="2" t="n">
        <v>3.7</v>
      </c>
      <c r="L29" s="2" t="inlineStr">
        <is>
          <t>有效</t>
        </is>
      </c>
      <c r="M29" s="3" t="inlineStr"/>
      <c r="N29" s="2">
        <f>(G29-H29)/G29</f>
        <v/>
      </c>
      <c r="O29" s="2">
        <f>G29-H29</f>
        <v/>
      </c>
    </row>
    <row r="30">
      <c r="A30" s="2" t="n">
        <v>30</v>
      </c>
      <c r="B30" s="2" t="inlineStr">
        <is>
          <t>OD00029</t>
        </is>
      </c>
      <c r="C30" s="2" t="inlineStr">
        <is>
          <t>2026-06-15</t>
        </is>
      </c>
      <c r="D30" s="2" t="inlineStr">
        <is>
          <t>上海</t>
        </is>
      </c>
      <c r="E30" s="2" t="inlineStr">
        <is>
          <t>企业团购</t>
        </is>
      </c>
      <c r="F30" s="2" t="inlineStr">
        <is>
          <t>周边</t>
        </is>
      </c>
      <c r="G30" s="2" t="n">
        <v>403</v>
      </c>
      <c r="H30" s="2" t="n">
        <v>231</v>
      </c>
      <c r="I30" s="2" t="n">
        <v>60</v>
      </c>
      <c r="J30" s="2" t="inlineStr">
        <is>
          <t>否</t>
        </is>
      </c>
      <c r="K30" s="2" t="n">
        <v>4.1</v>
      </c>
      <c r="L30" s="2" t="inlineStr">
        <is>
          <t>有效</t>
        </is>
      </c>
      <c r="M30" s="3" t="inlineStr"/>
      <c r="N30" s="2">
        <f>(G30-H30)/G30</f>
        <v/>
      </c>
      <c r="O30" s="2">
        <f>G30-H30</f>
        <v/>
      </c>
    </row>
    <row r="31">
      <c r="A31" s="2" t="n">
        <v>31</v>
      </c>
      <c r="B31" s="2" t="inlineStr">
        <is>
          <t>OD00030</t>
        </is>
      </c>
      <c r="C31" s="2" t="inlineStr">
        <is>
          <t>2026-07-22</t>
        </is>
      </c>
      <c r="D31" s="2" t="inlineStr">
        <is>
          <t>杭州</t>
        </is>
      </c>
      <c r="E31" s="2" t="inlineStr">
        <is>
          <t>企业团购</t>
        </is>
      </c>
      <c r="F31" s="2" t="inlineStr">
        <is>
          <t>周边</t>
        </is>
      </c>
      <c r="G31" s="2" t="n">
        <v>463</v>
      </c>
      <c r="H31" s="2" t="n">
        <v>303</v>
      </c>
      <c r="I31" s="2" t="n">
        <v>38</v>
      </c>
      <c r="J31" s="2" t="inlineStr">
        <is>
          <t>否</t>
        </is>
      </c>
      <c r="K31" s="2" t="n">
        <v>5</v>
      </c>
      <c r="L31" s="2" t="inlineStr">
        <is>
          <t>有效</t>
        </is>
      </c>
      <c r="M31" s="3" t="inlineStr"/>
      <c r="N31" s="2">
        <f>(G31-H31)/G31</f>
        <v/>
      </c>
      <c r="O31" s="2">
        <f>G31-H31</f>
        <v/>
      </c>
    </row>
    <row r="32">
      <c r="A32" s="2" t="n">
        <v>32</v>
      </c>
      <c r="B32" s="2" t="inlineStr">
        <is>
          <t>OD00031</t>
        </is>
      </c>
      <c r="C32" s="2" t="inlineStr">
        <is>
          <t>2026-08-02</t>
        </is>
      </c>
      <c r="D32" s="2" t="inlineStr">
        <is>
          <t>宁波</t>
        </is>
      </c>
      <c r="E32" s="2" t="inlineStr">
        <is>
          <t>外卖平台</t>
        </is>
      </c>
      <c r="F32" s="2" t="inlineStr">
        <is>
          <t>周边</t>
        </is>
      </c>
      <c r="G32" s="2" t="n">
        <v>473</v>
      </c>
      <c r="H32" s="2" t="n">
        <v>262</v>
      </c>
      <c r="I32" s="2" t="n">
        <v>21</v>
      </c>
      <c r="J32" s="2" t="inlineStr">
        <is>
          <t>否</t>
        </is>
      </c>
      <c r="K32" s="2" t="n">
        <v>3.5</v>
      </c>
      <c r="L32" s="2" t="inlineStr">
        <is>
          <t>有效</t>
        </is>
      </c>
      <c r="M32" s="3" t="inlineStr"/>
      <c r="N32" s="2">
        <f>(G32-H32)/G32</f>
        <v/>
      </c>
      <c r="O32" s="2">
        <f>G32-H32</f>
        <v/>
      </c>
    </row>
    <row r="33">
      <c r="A33" s="2" t="n">
        <v>33</v>
      </c>
      <c r="B33" s="2" t="inlineStr">
        <is>
          <t>OD00032</t>
        </is>
      </c>
      <c r="C33" s="2" t="inlineStr">
        <is>
          <t>2026-09-09</t>
        </is>
      </c>
      <c r="D33" s="2" t="inlineStr">
        <is>
          <t>合肥</t>
        </is>
      </c>
      <c r="E33" s="2" t="inlineStr">
        <is>
          <t>小程序</t>
        </is>
      </c>
      <c r="F33" s="2" t="inlineStr">
        <is>
          <t>周边</t>
        </is>
      </c>
      <c r="G33" s="2" t="n">
        <v>65</v>
      </c>
      <c r="H33" s="2" t="n">
        <v>33</v>
      </c>
      <c r="I33" s="2" t="n">
        <v>51</v>
      </c>
      <c r="J33" s="2" t="inlineStr">
        <is>
          <t>否</t>
        </is>
      </c>
      <c r="K33" s="2" t="n">
        <v>4.9</v>
      </c>
      <c r="L33" s="2" t="inlineStr">
        <is>
          <t>有效</t>
        </is>
      </c>
      <c r="M33" s="3" t="inlineStr"/>
      <c r="N33" s="2">
        <f>(G33-H33)/G33</f>
        <v/>
      </c>
      <c r="O33" s="2">
        <f>G33-H33</f>
        <v/>
      </c>
    </row>
    <row r="34">
      <c r="A34" s="2" t="n">
        <v>34</v>
      </c>
      <c r="B34" s="2" t="inlineStr">
        <is>
          <t>OD00033</t>
        </is>
      </c>
      <c r="C34" s="2" t="inlineStr">
        <is>
          <t>2026-10-16</t>
        </is>
      </c>
      <c r="D34" s="2" t="inlineStr">
        <is>
          <t>杭州</t>
        </is>
      </c>
      <c r="E34" s="2" t="inlineStr">
        <is>
          <t>外卖平台</t>
        </is>
      </c>
      <c r="F34" s="2" t="inlineStr">
        <is>
          <t>咖啡</t>
        </is>
      </c>
      <c r="G34" s="2" t="n">
        <v>372</v>
      </c>
      <c r="H34" s="2" t="n">
        <v>157</v>
      </c>
      <c r="I34" s="2" t="n">
        <v>49</v>
      </c>
      <c r="J34" s="2" t="inlineStr">
        <is>
          <t>否</t>
        </is>
      </c>
      <c r="K34" s="2" t="n">
        <v>4.2</v>
      </c>
      <c r="L34" s="2" t="inlineStr">
        <is>
          <t>有效</t>
        </is>
      </c>
      <c r="M34" s="3" t="inlineStr"/>
      <c r="N34" s="2">
        <f>(G34-H34)/G34</f>
        <v/>
      </c>
      <c r="O34" s="2">
        <f>G34-H34</f>
        <v/>
      </c>
    </row>
    <row r="35">
      <c r="A35" s="2" t="n">
        <v>35</v>
      </c>
      <c r="B35" s="2" t="inlineStr">
        <is>
          <t>OD00034</t>
        </is>
      </c>
      <c r="C35" s="2" t="inlineStr">
        <is>
          <t>2026-11-23</t>
        </is>
      </c>
      <c r="D35" s="2" t="inlineStr">
        <is>
          <t>南京</t>
        </is>
      </c>
      <c r="E35" s="2" t="inlineStr">
        <is>
          <t>小程序</t>
        </is>
      </c>
      <c r="F35" s="2" t="inlineStr">
        <is>
          <t>轻食</t>
        </is>
      </c>
      <c r="G35" s="2" t="n">
        <v>312</v>
      </c>
      <c r="H35" s="2" t="n">
        <v>225</v>
      </c>
      <c r="I35" s="2" t="n">
        <v>77</v>
      </c>
      <c r="J35" s="2" t="inlineStr">
        <is>
          <t>否</t>
        </is>
      </c>
      <c r="K35" s="2" t="n">
        <v>4.7</v>
      </c>
      <c r="L35" s="2" t="inlineStr">
        <is>
          <t>有效</t>
        </is>
      </c>
      <c r="M35" s="3" t="inlineStr"/>
      <c r="N35" s="2">
        <f>(G35-H35)/G35</f>
        <v/>
      </c>
      <c r="O35" s="2">
        <f>G35-H35</f>
        <v/>
      </c>
    </row>
    <row r="36">
      <c r="A36" s="2" t="n">
        <v>36</v>
      </c>
      <c r="B36" s="2" t="inlineStr">
        <is>
          <t>OD00035</t>
        </is>
      </c>
      <c r="C36" s="2" t="inlineStr">
        <is>
          <t>2026-12-03</t>
        </is>
      </c>
      <c r="D36" s="2" t="inlineStr">
        <is>
          <t>上海</t>
        </is>
      </c>
      <c r="E36" s="2" t="inlineStr">
        <is>
          <t>企业团购</t>
        </is>
      </c>
      <c r="F36" s="2" t="inlineStr">
        <is>
          <t>茶饮</t>
        </is>
      </c>
      <c r="G36" s="2" t="n">
        <v>58</v>
      </c>
      <c r="H36" s="2" t="n">
        <v>43</v>
      </c>
      <c r="I36" s="2" t="n">
        <v>47</v>
      </c>
      <c r="J36" s="2" t="inlineStr">
        <is>
          <t>否</t>
        </is>
      </c>
      <c r="K36" s="2" t="n">
        <v>4.8</v>
      </c>
      <c r="L36" s="2" t="inlineStr">
        <is>
          <t>有效</t>
        </is>
      </c>
      <c r="M36" s="3" t="inlineStr"/>
      <c r="N36" s="2">
        <f>(G36-H36)/G36</f>
        <v/>
      </c>
      <c r="O36" s="2">
        <f>G36-H36</f>
        <v/>
      </c>
    </row>
    <row r="37">
      <c r="A37" s="2" t="n">
        <v>37</v>
      </c>
      <c r="B37" s="2" t="inlineStr">
        <is>
          <t>OD00036</t>
        </is>
      </c>
      <c r="C37" s="2" t="inlineStr">
        <is>
          <t>2026-01-10</t>
        </is>
      </c>
      <c r="D37" s="2" t="inlineStr">
        <is>
          <t>杭州</t>
        </is>
      </c>
      <c r="E37" s="2" t="inlineStr">
        <is>
          <t>小程序</t>
        </is>
      </c>
      <c r="F37" s="2" t="inlineStr">
        <is>
          <t>周边</t>
        </is>
      </c>
      <c r="G37" s="2" t="n">
        <v>181</v>
      </c>
      <c r="H37" s="2" t="n">
        <v>91</v>
      </c>
      <c r="I37" s="2" t="n">
        <v>55</v>
      </c>
      <c r="J37" s="2" t="inlineStr">
        <is>
          <t>否</t>
        </is>
      </c>
      <c r="K37" s="2" t="n">
        <v>4.7</v>
      </c>
      <c r="L37" s="2" t="inlineStr">
        <is>
          <t>有效</t>
        </is>
      </c>
      <c r="M37" s="3" t="inlineStr"/>
      <c r="N37" s="2">
        <f>(G37-H37)/G37</f>
        <v/>
      </c>
      <c r="O37" s="2">
        <f>G37-H37</f>
        <v/>
      </c>
    </row>
    <row r="38">
      <c r="A38" s="2" t="n">
        <v>38</v>
      </c>
      <c r="B38" s="2" t="inlineStr">
        <is>
          <t>OD00037</t>
        </is>
      </c>
      <c r="C38" s="2" t="inlineStr">
        <is>
          <t>2026-02-17</t>
        </is>
      </c>
      <c r="D38" s="2" t="inlineStr">
        <is>
          <t>苏州</t>
        </is>
      </c>
      <c r="E38" s="2" t="inlineStr">
        <is>
          <t>外卖平台</t>
        </is>
      </c>
      <c r="F38" s="2" t="inlineStr">
        <is>
          <t>烘焙</t>
        </is>
      </c>
      <c r="G38" s="2" t="n">
        <v>477</v>
      </c>
      <c r="H38" s="2" t="n">
        <v>247</v>
      </c>
      <c r="I38" s="2" t="n">
        <v>79</v>
      </c>
      <c r="J38" s="2" t="inlineStr">
        <is>
          <t>否</t>
        </is>
      </c>
      <c r="K38" s="2" t="n">
        <v>4.5</v>
      </c>
      <c r="L38" s="2" t="inlineStr">
        <is>
          <t>有效</t>
        </is>
      </c>
      <c r="M38" s="3" t="inlineStr"/>
      <c r="N38" s="2">
        <f>(G38-H38)/G38</f>
        <v/>
      </c>
      <c r="O38" s="2">
        <f>G38-H38</f>
        <v/>
      </c>
    </row>
    <row r="39">
      <c r="A39" s="2" t="n">
        <v>39</v>
      </c>
      <c r="B39" s="2" t="inlineStr">
        <is>
          <t>OD00038</t>
        </is>
      </c>
      <c r="C39" s="2" t="inlineStr">
        <is>
          <t>2026-03-24</t>
        </is>
      </c>
      <c r="D39" s="2" t="inlineStr">
        <is>
          <t>合肥</t>
        </is>
      </c>
      <c r="E39" s="2" t="inlineStr">
        <is>
          <t>企业团购</t>
        </is>
      </c>
      <c r="F39" s="2" t="inlineStr">
        <is>
          <t>烘焙</t>
        </is>
      </c>
      <c r="G39" s="2" t="n">
        <v>655</v>
      </c>
      <c r="H39" s="2" t="n">
        <v>382</v>
      </c>
      <c r="I39" s="2" t="n">
        <v>80</v>
      </c>
      <c r="J39" s="2" t="inlineStr">
        <is>
          <t>否</t>
        </is>
      </c>
      <c r="K39" s="2" t="n">
        <v>4.4</v>
      </c>
      <c r="L39" s="2" t="inlineStr">
        <is>
          <t>有效</t>
        </is>
      </c>
      <c r="M39" s="3" t="inlineStr"/>
      <c r="N39" s="2">
        <f>(G39-H39)/G39</f>
        <v/>
      </c>
      <c r="O39" s="2">
        <f>G39-H39</f>
        <v/>
      </c>
    </row>
    <row r="40">
      <c r="A40" s="2" t="n">
        <v>40</v>
      </c>
      <c r="B40" s="2" t="inlineStr">
        <is>
          <t>OD00039</t>
        </is>
      </c>
      <c r="C40" s="2" t="inlineStr">
        <is>
          <t>2026-04-04</t>
        </is>
      </c>
      <c r="D40" s="2" t="inlineStr">
        <is>
          <t>宁波</t>
        </is>
      </c>
      <c r="E40" s="2" t="inlineStr">
        <is>
          <t>外卖平台</t>
        </is>
      </c>
      <c r="F40" s="2" t="inlineStr">
        <is>
          <t>烘焙</t>
        </is>
      </c>
      <c r="G40" s="2" t="n">
        <v>437</v>
      </c>
      <c r="H40" s="2" t="n">
        <v>316</v>
      </c>
      <c r="I40" s="2" t="n">
        <v>51</v>
      </c>
      <c r="J40" s="2" t="inlineStr">
        <is>
          <t>否</t>
        </is>
      </c>
      <c r="K40" s="2" t="n">
        <v>4.4</v>
      </c>
      <c r="L40" s="2" t="inlineStr">
        <is>
          <t>有效</t>
        </is>
      </c>
      <c r="M40" s="3" t="inlineStr"/>
      <c r="N40" s="2">
        <f>(G40-H40)/G40</f>
        <v/>
      </c>
      <c r="O40" s="2">
        <f>G40-H40</f>
        <v/>
      </c>
    </row>
    <row r="41">
      <c r="A41" s="2" t="n">
        <v>41</v>
      </c>
      <c r="B41" s="2" t="inlineStr">
        <is>
          <t>OD00040</t>
        </is>
      </c>
      <c r="C41" s="2" t="inlineStr">
        <is>
          <t>2026-05-11</t>
        </is>
      </c>
      <c r="D41" s="2" t="inlineStr">
        <is>
          <t>南京</t>
        </is>
      </c>
      <c r="E41" s="2" t="inlineStr">
        <is>
          <t>小程序</t>
        </is>
      </c>
      <c r="F41" s="2" t="inlineStr">
        <is>
          <t>咖啡</t>
        </is>
      </c>
      <c r="G41" s="2" t="n">
        <v>601</v>
      </c>
      <c r="H41" s="2" t="n">
        <v>397</v>
      </c>
      <c r="I41" s="2" t="n">
        <v>58</v>
      </c>
      <c r="J41" s="2" t="inlineStr">
        <is>
          <t>否</t>
        </is>
      </c>
      <c r="K41" s="2" t="n">
        <v>3.8</v>
      </c>
      <c r="L41" s="2" t="inlineStr">
        <is>
          <t>有效</t>
        </is>
      </c>
      <c r="M41" s="3" t="inlineStr"/>
      <c r="N41" s="2">
        <f>(G41-H41)/G41</f>
        <v/>
      </c>
      <c r="O41" s="2">
        <f>G41-H41</f>
        <v/>
      </c>
    </row>
    <row r="42">
      <c r="A42" s="2" t="n">
        <v>42</v>
      </c>
      <c r="B42" s="2" t="inlineStr">
        <is>
          <t>OD00041</t>
        </is>
      </c>
      <c r="C42" s="2" t="inlineStr">
        <is>
          <t>2026-06-18</t>
        </is>
      </c>
      <c r="D42" s="2" t="inlineStr">
        <is>
          <t>合肥</t>
        </is>
      </c>
      <c r="E42" s="2" t="inlineStr">
        <is>
          <t>外卖平台</t>
        </is>
      </c>
      <c r="F42" s="2" t="inlineStr">
        <is>
          <t>轻食</t>
        </is>
      </c>
      <c r="G42" s="2" t="n">
        <v>628</v>
      </c>
      <c r="H42" s="2" t="n">
        <v>404</v>
      </c>
      <c r="I42" s="2" t="n">
        <v>50</v>
      </c>
      <c r="J42" s="2" t="inlineStr">
        <is>
          <t>否</t>
        </is>
      </c>
      <c r="K42" s="2" t="n">
        <v>3.1</v>
      </c>
      <c r="L42" s="2" t="inlineStr">
        <is>
          <t>有效</t>
        </is>
      </c>
      <c r="M42" s="3" t="inlineStr"/>
      <c r="N42" s="2">
        <f>(G42-H42)/G42</f>
        <v/>
      </c>
      <c r="O42" s="2">
        <f>G42-H42</f>
        <v/>
      </c>
    </row>
    <row r="43">
      <c r="A43" s="2" t="n">
        <v>43</v>
      </c>
      <c r="B43" s="2" t="inlineStr">
        <is>
          <t>OD00042</t>
        </is>
      </c>
      <c r="C43" s="2" t="inlineStr">
        <is>
          <t>2026-07-25</t>
        </is>
      </c>
      <c r="D43" s="2" t="inlineStr">
        <is>
          <t>合肥</t>
        </is>
      </c>
      <c r="E43" s="2" t="inlineStr">
        <is>
          <t>外卖平台</t>
        </is>
      </c>
      <c r="F43" s="2" t="inlineStr">
        <is>
          <t>轻食</t>
        </is>
      </c>
      <c r="G43" s="2" t="n">
        <v>251</v>
      </c>
      <c r="H43" s="2" t="n">
        <v>159</v>
      </c>
      <c r="I43" s="2" t="n">
        <v>85</v>
      </c>
      <c r="J43" s="2" t="inlineStr">
        <is>
          <t>否</t>
        </is>
      </c>
      <c r="K43" s="2" t="n">
        <v>3.8</v>
      </c>
      <c r="L43" s="2" t="inlineStr">
        <is>
          <t>有效</t>
        </is>
      </c>
      <c r="M43" s="3" t="inlineStr"/>
      <c r="N43" s="2">
        <f>(G43-H43)/G43</f>
        <v/>
      </c>
      <c r="O43" s="2">
        <f>G43-H43</f>
        <v/>
      </c>
    </row>
    <row r="44">
      <c r="A44" s="2" t="n">
        <v>44</v>
      </c>
      <c r="B44" s="2" t="inlineStr">
        <is>
          <t>OD00043</t>
        </is>
      </c>
      <c r="C44" s="2" t="inlineStr">
        <is>
          <t>2026-08-05</t>
        </is>
      </c>
      <c r="D44" s="2" t="inlineStr">
        <is>
          <t>苏州</t>
        </is>
      </c>
      <c r="E44" s="2" t="inlineStr">
        <is>
          <t>企业团购</t>
        </is>
      </c>
      <c r="F44" s="2" t="inlineStr">
        <is>
          <t>轻食</t>
        </is>
      </c>
      <c r="G44" s="2" t="n">
        <v>370</v>
      </c>
      <c r="H44" s="2" t="n">
        <v>252</v>
      </c>
      <c r="I44" s="2" t="n">
        <v>12</v>
      </c>
      <c r="J44" s="2" t="inlineStr">
        <is>
          <t>否</t>
        </is>
      </c>
      <c r="K44" s="2" t="n">
        <v>3.4</v>
      </c>
      <c r="L44" s="2" t="inlineStr">
        <is>
          <t>有效</t>
        </is>
      </c>
      <c r="M44" s="3" t="inlineStr"/>
      <c r="N44" s="2">
        <f>(G44-H44)/G44</f>
        <v/>
      </c>
      <c r="O44" s="2">
        <f>G44-H44</f>
        <v/>
      </c>
    </row>
    <row r="45">
      <c r="A45" s="2" t="n">
        <v>45</v>
      </c>
      <c r="B45" s="2" t="inlineStr">
        <is>
          <t>OD00044</t>
        </is>
      </c>
      <c r="C45" s="2" t="inlineStr">
        <is>
          <t>2026-09-12</t>
        </is>
      </c>
      <c r="D45" s="2" t="inlineStr">
        <is>
          <t>宁波</t>
        </is>
      </c>
      <c r="E45" s="2" t="inlineStr">
        <is>
          <t>企业团购</t>
        </is>
      </c>
      <c r="F45" s="2" t="inlineStr">
        <is>
          <t>茶饮</t>
        </is>
      </c>
      <c r="G45" s="2" t="n">
        <v>168</v>
      </c>
      <c r="H45" s="2" t="n">
        <v>95</v>
      </c>
      <c r="I45" s="2" t="n">
        <v>31</v>
      </c>
      <c r="J45" s="2" t="inlineStr">
        <is>
          <t>否</t>
        </is>
      </c>
      <c r="K45" s="2" t="n">
        <v>3.7</v>
      </c>
      <c r="L45" s="2" t="inlineStr">
        <is>
          <t>有效</t>
        </is>
      </c>
      <c r="M45" s="3" t="inlineStr"/>
      <c r="N45" s="2">
        <f>(G45-H45)/G45</f>
        <v/>
      </c>
      <c r="O45" s="2">
        <f>G45-H45</f>
        <v/>
      </c>
    </row>
    <row r="46">
      <c r="A46" s="2" t="n">
        <v>46</v>
      </c>
      <c r="B46" s="2" t="inlineStr">
        <is>
          <t>OD00045</t>
        </is>
      </c>
      <c r="C46" s="2" t="inlineStr">
        <is>
          <t>2026-10-19</t>
        </is>
      </c>
      <c r="D46" s="2" t="inlineStr">
        <is>
          <t>杭州</t>
        </is>
      </c>
      <c r="E46" s="2" t="inlineStr">
        <is>
          <t>外卖平台</t>
        </is>
      </c>
      <c r="F46" s="2" t="inlineStr">
        <is>
          <t>周边</t>
        </is>
      </c>
      <c r="G46" s="2" t="n">
        <v>254</v>
      </c>
      <c r="H46" s="2" t="n">
        <v>160</v>
      </c>
      <c r="I46" s="2" t="n">
        <v>59</v>
      </c>
      <c r="J46" s="2" t="inlineStr">
        <is>
          <t>否</t>
        </is>
      </c>
      <c r="K46" s="2" t="n">
        <v>4</v>
      </c>
      <c r="L46" s="2" t="inlineStr">
        <is>
          <t>有效</t>
        </is>
      </c>
      <c r="M46" s="3" t="inlineStr"/>
      <c r="N46" s="2">
        <f>(G46-H46)/G46</f>
        <v/>
      </c>
      <c r="O46" s="2">
        <f>G46-H46</f>
        <v/>
      </c>
    </row>
    <row r="47">
      <c r="A47" s="2" t="n">
        <v>47</v>
      </c>
      <c r="B47" s="2" t="inlineStr">
        <is>
          <t>OD00046</t>
        </is>
      </c>
      <c r="C47" s="2" t="inlineStr">
        <is>
          <t>2026-11-26</t>
        </is>
      </c>
      <c r="D47" s="2" t="inlineStr">
        <is>
          <t>南京</t>
        </is>
      </c>
      <c r="E47" s="2" t="inlineStr">
        <is>
          <t>小程序</t>
        </is>
      </c>
      <c r="F47" s="2" t="inlineStr">
        <is>
          <t>茶饮</t>
        </is>
      </c>
      <c r="G47" s="2" t="n">
        <v>221</v>
      </c>
      <c r="H47" s="2" t="n">
        <v>155</v>
      </c>
      <c r="I47" s="2" t="n">
        <v>82</v>
      </c>
      <c r="J47" s="2" t="inlineStr">
        <is>
          <t>否</t>
        </is>
      </c>
      <c r="K47" s="2" t="n">
        <v>3.8</v>
      </c>
      <c r="L47" s="2" t="inlineStr">
        <is>
          <t>有效</t>
        </is>
      </c>
      <c r="M47" s="3" t="inlineStr"/>
      <c r="N47" s="2">
        <f>(G47-H47)/G47</f>
        <v/>
      </c>
      <c r="O47" s="2">
        <f>G47-H47</f>
        <v/>
      </c>
    </row>
    <row r="48">
      <c r="A48" s="2" t="n">
        <v>48</v>
      </c>
      <c r="B48" s="2" t="inlineStr">
        <is>
          <t>OD00047</t>
        </is>
      </c>
      <c r="C48" s="2" t="inlineStr">
        <is>
          <t>2026-12-06</t>
        </is>
      </c>
      <c r="D48" s="2" t="inlineStr">
        <is>
          <t>南京</t>
        </is>
      </c>
      <c r="E48" s="2" t="inlineStr">
        <is>
          <t>小程序</t>
        </is>
      </c>
      <c r="F48" s="2" t="inlineStr">
        <is>
          <t>茶饮</t>
        </is>
      </c>
      <c r="G48" s="2" t="n">
        <v>155</v>
      </c>
      <c r="H48" s="2" t="n">
        <v>103</v>
      </c>
      <c r="I48" s="2" t="n">
        <v>55</v>
      </c>
      <c r="J48" s="2" t="inlineStr">
        <is>
          <t>否</t>
        </is>
      </c>
      <c r="K48" s="2" t="n">
        <v>4.2</v>
      </c>
      <c r="L48" s="2" t="inlineStr">
        <is>
          <t>有效</t>
        </is>
      </c>
      <c r="M48" s="3" t="inlineStr"/>
      <c r="N48" s="2">
        <f>(G48-H48)/G48</f>
        <v/>
      </c>
      <c r="O48" s="2">
        <f>G48-H48</f>
        <v/>
      </c>
    </row>
    <row r="49">
      <c r="A49" s="2" t="n">
        <v>49</v>
      </c>
      <c r="B49" s="2" t="inlineStr">
        <is>
          <t>OD00048</t>
        </is>
      </c>
      <c r="C49" s="2" t="inlineStr">
        <is>
          <t>2026-01-13</t>
        </is>
      </c>
      <c r="D49" s="2" t="inlineStr">
        <is>
          <t>合肥</t>
        </is>
      </c>
      <c r="E49" s="2" t="inlineStr">
        <is>
          <t>门店</t>
        </is>
      </c>
      <c r="F49" s="2" t="inlineStr">
        <is>
          <t>烘焙</t>
        </is>
      </c>
      <c r="G49" s="2" t="n">
        <v>326</v>
      </c>
      <c r="H49" s="2" t="n">
        <v>245</v>
      </c>
      <c r="I49" s="2" t="n">
        <v>26</v>
      </c>
      <c r="J49" s="2" t="inlineStr">
        <is>
          <t>否</t>
        </is>
      </c>
      <c r="K49" s="2" t="n">
        <v>3.4</v>
      </c>
      <c r="L49" s="2" t="inlineStr">
        <is>
          <t>有效</t>
        </is>
      </c>
      <c r="M49" s="3" t="inlineStr"/>
      <c r="N49" s="2">
        <f>(G49-H49)/G49</f>
        <v/>
      </c>
      <c r="O49" s="2">
        <f>G49-H49</f>
        <v/>
      </c>
    </row>
    <row r="50">
      <c r="A50" s="2" t="n">
        <v>50</v>
      </c>
      <c r="B50" s="2" t="inlineStr">
        <is>
          <t>OD00049</t>
        </is>
      </c>
      <c r="C50" s="2" t="inlineStr">
        <is>
          <t>2026-02-20</t>
        </is>
      </c>
      <c r="D50" s="2" t="inlineStr">
        <is>
          <t>上海</t>
        </is>
      </c>
      <c r="E50" s="2" t="inlineStr">
        <is>
          <t>外卖平台</t>
        </is>
      </c>
      <c r="F50" s="2" t="inlineStr">
        <is>
          <t>烘焙</t>
        </is>
      </c>
      <c r="G50" s="2" t="n">
        <v>76</v>
      </c>
      <c r="H50" s="2" t="n">
        <v>33</v>
      </c>
      <c r="I50" s="2" t="n">
        <v>55</v>
      </c>
      <c r="J50" s="2" t="inlineStr">
        <is>
          <t>否</t>
        </is>
      </c>
      <c r="K50" s="2" t="n">
        <v>3.1</v>
      </c>
      <c r="L50" s="2" t="inlineStr">
        <is>
          <t>有效</t>
        </is>
      </c>
      <c r="M50" s="3" t="inlineStr"/>
      <c r="N50" s="2">
        <f>(G50-H50)/G50</f>
        <v/>
      </c>
      <c r="O50" s="2">
        <f>G50-H50</f>
        <v/>
      </c>
    </row>
    <row r="51">
      <c r="A51" s="2" t="n">
        <v>51</v>
      </c>
      <c r="B51" s="2" t="inlineStr">
        <is>
          <t>OD00050</t>
        </is>
      </c>
      <c r="C51" s="2" t="inlineStr">
        <is>
          <t>2026-03-27</t>
        </is>
      </c>
      <c r="D51" s="2" t="inlineStr">
        <is>
          <t>宁波</t>
        </is>
      </c>
      <c r="E51" s="2" t="inlineStr">
        <is>
          <t>外卖平台</t>
        </is>
      </c>
      <c r="F51" s="2" t="inlineStr">
        <is>
          <t>烘焙</t>
        </is>
      </c>
      <c r="G51" s="2" t="n">
        <v>394</v>
      </c>
      <c r="H51" s="2" t="n">
        <v>275</v>
      </c>
      <c r="I51" s="2" t="n">
        <v>89</v>
      </c>
      <c r="J51" s="2" t="inlineStr">
        <is>
          <t>否</t>
        </is>
      </c>
      <c r="K51" s="2" t="n">
        <v>3.4</v>
      </c>
      <c r="L51" s="2" t="inlineStr">
        <is>
          <t>有效</t>
        </is>
      </c>
      <c r="M51" s="3" t="inlineStr"/>
      <c r="N51" s="2">
        <f>(G51-H51)/G51</f>
        <v/>
      </c>
      <c r="O51" s="2">
        <f>G51-H51</f>
        <v/>
      </c>
    </row>
    <row r="52">
      <c r="A52" s="2" t="n">
        <v>52</v>
      </c>
      <c r="B52" s="2" t="inlineStr">
        <is>
          <t>OD00051</t>
        </is>
      </c>
      <c r="C52" s="2" t="inlineStr">
        <is>
          <t>2026-04-07</t>
        </is>
      </c>
      <c r="D52" s="2" t="inlineStr">
        <is>
          <t>宁波</t>
        </is>
      </c>
      <c r="E52" s="2" t="inlineStr">
        <is>
          <t>小程序</t>
        </is>
      </c>
      <c r="F52" s="2" t="inlineStr">
        <is>
          <t>周边</t>
        </is>
      </c>
      <c r="G52" s="2" t="n">
        <v>224</v>
      </c>
      <c r="H52" s="2" t="n">
        <v>162</v>
      </c>
      <c r="I52" s="2" t="n">
        <v>34</v>
      </c>
      <c r="J52" s="2" t="inlineStr">
        <is>
          <t>否</t>
        </is>
      </c>
      <c r="K52" s="2" t="n">
        <v>3.5</v>
      </c>
      <c r="L52" s="2" t="inlineStr">
        <is>
          <t>有效</t>
        </is>
      </c>
      <c r="M52" s="3" t="inlineStr"/>
      <c r="N52" s="2">
        <f>(G52-H52)/G52</f>
        <v/>
      </c>
      <c r="O52" s="2">
        <f>G52-H52</f>
        <v/>
      </c>
    </row>
    <row r="53">
      <c r="A53" s="2" t="n">
        <v>53</v>
      </c>
      <c r="B53" s="2" t="inlineStr">
        <is>
          <t>OD00052</t>
        </is>
      </c>
      <c r="C53" s="2" t="inlineStr">
        <is>
          <t>2026-05-14</t>
        </is>
      </c>
      <c r="D53" s="2" t="inlineStr">
        <is>
          <t>合肥</t>
        </is>
      </c>
      <c r="E53" s="2" t="inlineStr">
        <is>
          <t>企业团购</t>
        </is>
      </c>
      <c r="F53" s="2" t="inlineStr">
        <is>
          <t>烘焙</t>
        </is>
      </c>
      <c r="G53" s="2" t="n">
        <v>589</v>
      </c>
      <c r="H53" s="2" t="n">
        <v>363</v>
      </c>
      <c r="I53" s="2" t="n">
        <v>23</v>
      </c>
      <c r="J53" s="2" t="inlineStr">
        <is>
          <t>否</t>
        </is>
      </c>
      <c r="K53" s="2" t="n">
        <v>3.3</v>
      </c>
      <c r="L53" s="2" t="inlineStr">
        <is>
          <t>有效</t>
        </is>
      </c>
      <c r="M53" s="3" t="inlineStr"/>
      <c r="N53" s="2">
        <f>(G53-H53)/G53</f>
        <v/>
      </c>
      <c r="O53" s="2">
        <f>G53-H53</f>
        <v/>
      </c>
    </row>
    <row r="54">
      <c r="A54" s="2" t="n">
        <v>54</v>
      </c>
      <c r="B54" s="2" t="inlineStr">
        <is>
          <t>OD00053</t>
        </is>
      </c>
      <c r="C54" s="2" t="inlineStr">
        <is>
          <t>2026-06-21</t>
        </is>
      </c>
      <c r="D54" s="2" t="inlineStr">
        <is>
          <t>南京</t>
        </is>
      </c>
      <c r="E54" s="2" t="inlineStr">
        <is>
          <t>外卖平台</t>
        </is>
      </c>
      <c r="F54" s="2" t="inlineStr">
        <is>
          <t>烘焙</t>
        </is>
      </c>
      <c r="G54" s="2" t="n">
        <v>293</v>
      </c>
      <c r="H54" s="2" t="n">
        <v>197</v>
      </c>
      <c r="I54" s="2" t="n">
        <v>60</v>
      </c>
      <c r="J54" s="2" t="inlineStr">
        <is>
          <t>否</t>
        </is>
      </c>
      <c r="K54" s="2" t="n">
        <v>4</v>
      </c>
      <c r="L54" s="2" t="inlineStr">
        <is>
          <t>有效</t>
        </is>
      </c>
      <c r="M54" s="3" t="inlineStr"/>
      <c r="N54" s="2">
        <f>(G54-H54)/G54</f>
        <v/>
      </c>
      <c r="O54" s="2">
        <f>G54-H54</f>
        <v/>
      </c>
    </row>
    <row r="55">
      <c r="A55" s="2" t="n">
        <v>55</v>
      </c>
      <c r="B55" s="2" t="inlineStr">
        <is>
          <t>OD00054</t>
        </is>
      </c>
      <c r="C55" s="2" t="inlineStr">
        <is>
          <t>2026-07-01</t>
        </is>
      </c>
      <c r="D55" s="2" t="inlineStr">
        <is>
          <t>合肥</t>
        </is>
      </c>
      <c r="E55" s="2" t="inlineStr">
        <is>
          <t>企业团购</t>
        </is>
      </c>
      <c r="F55" s="2" t="inlineStr">
        <is>
          <t>周边</t>
        </is>
      </c>
      <c r="G55" s="2" t="n">
        <v>188</v>
      </c>
      <c r="H55" s="2" t="n">
        <v>122</v>
      </c>
      <c r="I55" s="2" t="n">
        <v>75</v>
      </c>
      <c r="J55" s="2" t="inlineStr">
        <is>
          <t>否</t>
        </is>
      </c>
      <c r="K55" s="2" t="n">
        <v>4.2</v>
      </c>
      <c r="L55" s="2" t="inlineStr">
        <is>
          <t>有效</t>
        </is>
      </c>
      <c r="M55" s="3" t="inlineStr"/>
      <c r="N55" s="2">
        <f>(G55-H55)/G55</f>
        <v/>
      </c>
      <c r="O55" s="2">
        <f>G55-H55</f>
        <v/>
      </c>
    </row>
    <row r="56">
      <c r="A56" s="4" t="n">
        <v>56</v>
      </c>
      <c r="B56" s="4" t="inlineStr">
        <is>
          <t>OD00055</t>
        </is>
      </c>
      <c r="C56" s="4" t="inlineStr">
        <is>
          <t>2026-08-08</t>
        </is>
      </c>
      <c r="D56" s="4" t="inlineStr">
        <is>
          <t>苏州</t>
        </is>
      </c>
      <c r="E56" s="4" t="inlineStr">
        <is>
          <t>外卖平台</t>
        </is>
      </c>
      <c r="F56" s="4" t="inlineStr">
        <is>
          <t>周边</t>
        </is>
      </c>
      <c r="G56" s="4" t="n">
        <v>273</v>
      </c>
      <c r="H56" s="4" t="inlineStr"/>
      <c r="I56" s="4" t="n">
        <v>39</v>
      </c>
      <c r="J56" s="4" t="inlineStr">
        <is>
          <t>否</t>
        </is>
      </c>
      <c r="K56" s="4" t="n">
        <v>4.2</v>
      </c>
      <c r="L56" s="4" t="inlineStr">
        <is>
          <t>异常</t>
        </is>
      </c>
      <c r="M56" s="5" t="inlineStr">
        <is>
          <t>成本缺失</t>
        </is>
      </c>
      <c r="N56" s="4" t="inlineStr">
        <is>
          <t>N/A</t>
        </is>
      </c>
      <c r="O56" s="4" t="inlineStr">
        <is>
          <t>N/A</t>
        </is>
      </c>
    </row>
    <row r="57">
      <c r="A57" s="2" t="n">
        <v>57</v>
      </c>
      <c r="B57" s="2" t="inlineStr">
        <is>
          <t>OD00056</t>
        </is>
      </c>
      <c r="C57" s="2" t="inlineStr">
        <is>
          <t>2026-09-15</t>
        </is>
      </c>
      <c r="D57" s="2" t="inlineStr">
        <is>
          <t>上海</t>
        </is>
      </c>
      <c r="E57" s="2" t="inlineStr">
        <is>
          <t>企业团购</t>
        </is>
      </c>
      <c r="F57" s="2" t="inlineStr">
        <is>
          <t>烘焙</t>
        </is>
      </c>
      <c r="G57" s="2" t="n">
        <v>290</v>
      </c>
      <c r="H57" s="2" t="n">
        <v>177</v>
      </c>
      <c r="I57" s="2" t="n">
        <v>57</v>
      </c>
      <c r="J57" s="2" t="inlineStr">
        <is>
          <t>否</t>
        </is>
      </c>
      <c r="K57" s="2" t="n">
        <v>3.6</v>
      </c>
      <c r="L57" s="2" t="inlineStr">
        <is>
          <t>有效</t>
        </is>
      </c>
      <c r="M57" s="3" t="inlineStr"/>
      <c r="N57" s="2">
        <f>(G57-H57)/G57</f>
        <v/>
      </c>
      <c r="O57" s="2">
        <f>G57-H57</f>
        <v/>
      </c>
    </row>
    <row r="58">
      <c r="A58" s="2" t="n">
        <v>58</v>
      </c>
      <c r="B58" s="2" t="inlineStr">
        <is>
          <t>OD00057</t>
        </is>
      </c>
      <c r="C58" s="2" t="inlineStr">
        <is>
          <t>2026-10-22</t>
        </is>
      </c>
      <c r="D58" s="2" t="inlineStr">
        <is>
          <t>苏州</t>
        </is>
      </c>
      <c r="E58" s="2" t="inlineStr">
        <is>
          <t>外卖平台</t>
        </is>
      </c>
      <c r="F58" s="2" t="inlineStr">
        <is>
          <t>轻食</t>
        </is>
      </c>
      <c r="G58" s="2" t="n">
        <v>180</v>
      </c>
      <c r="H58" s="2" t="n">
        <v>81</v>
      </c>
      <c r="I58" s="2" t="n">
        <v>62</v>
      </c>
      <c r="J58" s="2" t="inlineStr">
        <is>
          <t>否</t>
        </is>
      </c>
      <c r="K58" s="2" t="n">
        <v>5</v>
      </c>
      <c r="L58" s="2" t="inlineStr">
        <is>
          <t>有效</t>
        </is>
      </c>
      <c r="M58" s="3" t="inlineStr"/>
      <c r="N58" s="2">
        <f>(G58-H58)/G58</f>
        <v/>
      </c>
      <c r="O58" s="2">
        <f>G58-H58</f>
        <v/>
      </c>
    </row>
    <row r="59">
      <c r="A59" s="2" t="n">
        <v>59</v>
      </c>
      <c r="B59" s="2" t="inlineStr">
        <is>
          <t>OD00058</t>
        </is>
      </c>
      <c r="C59" s="2" t="inlineStr">
        <is>
          <t>2026-11-02</t>
        </is>
      </c>
      <c r="D59" s="2" t="inlineStr">
        <is>
          <t>苏州</t>
        </is>
      </c>
      <c r="E59" s="2" t="inlineStr">
        <is>
          <t>外卖平台</t>
        </is>
      </c>
      <c r="F59" s="2" t="inlineStr">
        <is>
          <t>咖啡</t>
        </is>
      </c>
      <c r="G59" s="2" t="n">
        <v>371</v>
      </c>
      <c r="H59" s="2" t="n">
        <v>269</v>
      </c>
      <c r="I59" s="2" t="n">
        <v>57</v>
      </c>
      <c r="J59" s="2" t="inlineStr">
        <is>
          <t>否</t>
        </is>
      </c>
      <c r="K59" s="2" t="n">
        <v>5</v>
      </c>
      <c r="L59" s="2" t="inlineStr">
        <is>
          <t>有效</t>
        </is>
      </c>
      <c r="M59" s="3" t="inlineStr"/>
      <c r="N59" s="2">
        <f>(G59-H59)/G59</f>
        <v/>
      </c>
      <c r="O59" s="2">
        <f>G59-H59</f>
        <v/>
      </c>
    </row>
    <row r="60">
      <c r="A60" s="2" t="n">
        <v>60</v>
      </c>
      <c r="B60" s="2" t="inlineStr">
        <is>
          <t>OD00059</t>
        </is>
      </c>
      <c r="C60" s="2" t="inlineStr">
        <is>
          <t>2026-12-09</t>
        </is>
      </c>
      <c r="D60" s="2" t="inlineStr">
        <is>
          <t>苏州</t>
        </is>
      </c>
      <c r="E60" s="2" t="inlineStr">
        <is>
          <t>外卖平台</t>
        </is>
      </c>
      <c r="F60" s="2" t="inlineStr">
        <is>
          <t>轻食</t>
        </is>
      </c>
      <c r="G60" s="2" t="n">
        <v>125</v>
      </c>
      <c r="H60" s="2" t="n">
        <v>92</v>
      </c>
      <c r="I60" s="2" t="n">
        <v>30</v>
      </c>
      <c r="J60" s="2" t="inlineStr">
        <is>
          <t>否</t>
        </is>
      </c>
      <c r="K60" s="2" t="n">
        <v>3.4</v>
      </c>
      <c r="L60" s="2" t="inlineStr">
        <is>
          <t>有效</t>
        </is>
      </c>
      <c r="M60" s="3" t="inlineStr"/>
      <c r="N60" s="2">
        <f>(G60-H60)/G60</f>
        <v/>
      </c>
      <c r="O60" s="2">
        <f>G60-H60</f>
        <v/>
      </c>
    </row>
    <row r="61">
      <c r="A61" s="2" t="n">
        <v>61</v>
      </c>
      <c r="B61" s="2" t="inlineStr">
        <is>
          <t>OD00060</t>
        </is>
      </c>
      <c r="C61" s="2" t="inlineStr">
        <is>
          <t>2026-01-16</t>
        </is>
      </c>
      <c r="D61" s="2" t="inlineStr">
        <is>
          <t>上海</t>
        </is>
      </c>
      <c r="E61" s="2" t="inlineStr">
        <is>
          <t>外卖平台</t>
        </is>
      </c>
      <c r="F61" s="2" t="inlineStr">
        <is>
          <t>茶饮</t>
        </is>
      </c>
      <c r="G61" s="2" t="n">
        <v>409</v>
      </c>
      <c r="H61" s="2" t="n">
        <v>259</v>
      </c>
      <c r="I61" s="2" t="n">
        <v>62</v>
      </c>
      <c r="J61" s="2" t="inlineStr">
        <is>
          <t>否</t>
        </is>
      </c>
      <c r="K61" s="2" t="n">
        <v>4.9</v>
      </c>
      <c r="L61" s="2" t="inlineStr">
        <is>
          <t>有效</t>
        </is>
      </c>
      <c r="M61" s="3" t="inlineStr"/>
      <c r="N61" s="2">
        <f>(G61-H61)/G61</f>
        <v/>
      </c>
      <c r="O61" s="2">
        <f>G61-H61</f>
        <v/>
      </c>
    </row>
    <row r="62">
      <c r="A62" s="2" t="n">
        <v>62</v>
      </c>
      <c r="B62" s="2" t="inlineStr">
        <is>
          <t>OD00061</t>
        </is>
      </c>
      <c r="C62" s="2" t="inlineStr">
        <is>
          <t>2026-02-23</t>
        </is>
      </c>
      <c r="D62" s="2" t="inlineStr">
        <is>
          <t>宁波</t>
        </is>
      </c>
      <c r="E62" s="2" t="inlineStr">
        <is>
          <t>外卖平台</t>
        </is>
      </c>
      <c r="F62" s="2" t="inlineStr">
        <is>
          <t>茶饮</t>
        </is>
      </c>
      <c r="G62" s="2" t="n">
        <v>213</v>
      </c>
      <c r="H62" s="2" t="n">
        <v>157</v>
      </c>
      <c r="I62" s="2" t="n">
        <v>73</v>
      </c>
      <c r="J62" s="2" t="inlineStr">
        <is>
          <t>否</t>
        </is>
      </c>
      <c r="K62" s="2" t="n">
        <v>4.4</v>
      </c>
      <c r="L62" s="2" t="inlineStr">
        <is>
          <t>有效</t>
        </is>
      </c>
      <c r="M62" s="3" t="inlineStr"/>
      <c r="N62" s="2">
        <f>(G62-H62)/G62</f>
        <v/>
      </c>
      <c r="O62" s="2">
        <f>G62-H62</f>
        <v/>
      </c>
    </row>
    <row r="63">
      <c r="A63" s="2" t="n">
        <v>63</v>
      </c>
      <c r="B63" s="2" t="inlineStr">
        <is>
          <t>OD00062</t>
        </is>
      </c>
      <c r="C63" s="2" t="inlineStr">
        <is>
          <t>2026-03-03</t>
        </is>
      </c>
      <c r="D63" s="2" t="inlineStr">
        <is>
          <t>南京</t>
        </is>
      </c>
      <c r="E63" s="2" t="inlineStr">
        <is>
          <t>小程序</t>
        </is>
      </c>
      <c r="F63" s="2" t="inlineStr">
        <is>
          <t>咖啡</t>
        </is>
      </c>
      <c r="G63" s="2" t="n">
        <v>254</v>
      </c>
      <c r="H63" s="2" t="n">
        <v>190</v>
      </c>
      <c r="I63" s="2" t="n">
        <v>23</v>
      </c>
      <c r="J63" s="2" t="inlineStr">
        <is>
          <t>否</t>
        </is>
      </c>
      <c r="K63" s="2" t="n">
        <v>4</v>
      </c>
      <c r="L63" s="2" t="inlineStr">
        <is>
          <t>有效</t>
        </is>
      </c>
      <c r="M63" s="3" t="inlineStr"/>
      <c r="N63" s="2">
        <f>(G63-H63)/G63</f>
        <v/>
      </c>
      <c r="O63" s="2">
        <f>G63-H63</f>
        <v/>
      </c>
    </row>
    <row r="64">
      <c r="A64" s="2" t="n">
        <v>64</v>
      </c>
      <c r="B64" s="2" t="inlineStr">
        <is>
          <t>OD00063</t>
        </is>
      </c>
      <c r="C64" s="2" t="inlineStr">
        <is>
          <t>2026-04-10</t>
        </is>
      </c>
      <c r="D64" s="2" t="inlineStr">
        <is>
          <t>苏州</t>
        </is>
      </c>
      <c r="E64" s="2" t="inlineStr">
        <is>
          <t>外卖平台</t>
        </is>
      </c>
      <c r="F64" s="2" t="inlineStr">
        <is>
          <t>烘焙</t>
        </is>
      </c>
      <c r="G64" s="2" t="n">
        <v>602</v>
      </c>
      <c r="H64" s="2" t="n">
        <v>331</v>
      </c>
      <c r="I64" s="2" t="n">
        <v>47</v>
      </c>
      <c r="J64" s="2" t="inlineStr">
        <is>
          <t>否</t>
        </is>
      </c>
      <c r="K64" s="2" t="n">
        <v>3.1</v>
      </c>
      <c r="L64" s="2" t="inlineStr">
        <is>
          <t>有效</t>
        </is>
      </c>
      <c r="M64" s="3" t="inlineStr"/>
      <c r="N64" s="2">
        <f>(G64-H64)/G64</f>
        <v/>
      </c>
      <c r="O64" s="2">
        <f>G64-H64</f>
        <v/>
      </c>
    </row>
    <row r="65">
      <c r="A65" s="2" t="n">
        <v>65</v>
      </c>
      <c r="B65" s="2" t="inlineStr">
        <is>
          <t>OD00064</t>
        </is>
      </c>
      <c r="C65" s="2" t="inlineStr">
        <is>
          <t>2026-05-17</t>
        </is>
      </c>
      <c r="D65" s="2" t="inlineStr">
        <is>
          <t>上海</t>
        </is>
      </c>
      <c r="E65" s="2" t="inlineStr">
        <is>
          <t>企业团购</t>
        </is>
      </c>
      <c r="F65" s="2" t="inlineStr">
        <is>
          <t>周边</t>
        </is>
      </c>
      <c r="G65" s="2" t="n">
        <v>85</v>
      </c>
      <c r="H65" s="2" t="n">
        <v>56</v>
      </c>
      <c r="I65" s="2" t="n">
        <v>29</v>
      </c>
      <c r="J65" s="2" t="inlineStr">
        <is>
          <t>否</t>
        </is>
      </c>
      <c r="K65" s="2" t="n">
        <v>4.5</v>
      </c>
      <c r="L65" s="2" t="inlineStr">
        <is>
          <t>有效</t>
        </is>
      </c>
      <c r="M65" s="3" t="inlineStr"/>
      <c r="N65" s="2">
        <f>(G65-H65)/G65</f>
        <v/>
      </c>
      <c r="O65" s="2">
        <f>G65-H65</f>
        <v/>
      </c>
    </row>
    <row r="66">
      <c r="A66" s="2" t="n">
        <v>66</v>
      </c>
      <c r="B66" s="2" t="inlineStr">
        <is>
          <t>OD00065</t>
        </is>
      </c>
      <c r="C66" s="2" t="inlineStr">
        <is>
          <t>2026-06-24</t>
        </is>
      </c>
      <c r="D66" s="2" t="inlineStr">
        <is>
          <t>宁波</t>
        </is>
      </c>
      <c r="E66" s="2" t="inlineStr">
        <is>
          <t>外卖平台</t>
        </is>
      </c>
      <c r="F66" s="2" t="inlineStr">
        <is>
          <t>茶饮</t>
        </is>
      </c>
      <c r="G66" s="2" t="n">
        <v>405</v>
      </c>
      <c r="H66" s="2" t="n">
        <v>249</v>
      </c>
      <c r="I66" s="2" t="n">
        <v>24</v>
      </c>
      <c r="J66" s="2" t="inlineStr">
        <is>
          <t>否</t>
        </is>
      </c>
      <c r="K66" s="2" t="n">
        <v>3.4</v>
      </c>
      <c r="L66" s="2" t="inlineStr">
        <is>
          <t>有效</t>
        </is>
      </c>
      <c r="M66" s="3" t="inlineStr"/>
      <c r="N66" s="2">
        <f>(G66-H66)/G66</f>
        <v/>
      </c>
      <c r="O66" s="2">
        <f>G66-H66</f>
        <v/>
      </c>
    </row>
    <row r="67">
      <c r="A67" s="2" t="n">
        <v>67</v>
      </c>
      <c r="B67" s="2" t="inlineStr">
        <is>
          <t>OD00066</t>
        </is>
      </c>
      <c r="C67" s="2" t="inlineStr">
        <is>
          <t>2026-07-04</t>
        </is>
      </c>
      <c r="D67" s="2" t="inlineStr">
        <is>
          <t>合肥</t>
        </is>
      </c>
      <c r="E67" s="2" t="inlineStr">
        <is>
          <t>外卖平台</t>
        </is>
      </c>
      <c r="F67" s="2" t="inlineStr">
        <is>
          <t>烘焙</t>
        </is>
      </c>
      <c r="G67" s="2" t="n">
        <v>286</v>
      </c>
      <c r="H67" s="2" t="n">
        <v>201</v>
      </c>
      <c r="I67" s="2" t="n">
        <v>61</v>
      </c>
      <c r="J67" s="2" t="inlineStr">
        <is>
          <t>否</t>
        </is>
      </c>
      <c r="K67" s="2" t="n">
        <v>4.7</v>
      </c>
      <c r="L67" s="2" t="inlineStr">
        <is>
          <t>有效</t>
        </is>
      </c>
      <c r="M67" s="3" t="inlineStr"/>
      <c r="N67" s="2">
        <f>(G67-H67)/G67</f>
        <v/>
      </c>
      <c r="O67" s="2">
        <f>G67-H67</f>
        <v/>
      </c>
    </row>
    <row r="68">
      <c r="A68" s="2" t="n">
        <v>68</v>
      </c>
      <c r="B68" s="2" t="inlineStr">
        <is>
          <t>OD00067</t>
        </is>
      </c>
      <c r="C68" s="2" t="inlineStr">
        <is>
          <t>2026-08-11</t>
        </is>
      </c>
      <c r="D68" s="2" t="inlineStr">
        <is>
          <t>合肥</t>
        </is>
      </c>
      <c r="E68" s="2" t="inlineStr">
        <is>
          <t>外卖平台</t>
        </is>
      </c>
      <c r="F68" s="2" t="inlineStr">
        <is>
          <t>轻食</t>
        </is>
      </c>
      <c r="G68" s="2" t="n">
        <v>464</v>
      </c>
      <c r="H68" s="2" t="n">
        <v>240</v>
      </c>
      <c r="I68" s="2" t="n">
        <v>91</v>
      </c>
      <c r="J68" s="2" t="inlineStr">
        <is>
          <t>否</t>
        </is>
      </c>
      <c r="K68" s="2" t="n">
        <v>4.2</v>
      </c>
      <c r="L68" s="2" t="inlineStr">
        <is>
          <t>有效</t>
        </is>
      </c>
      <c r="M68" s="3" t="inlineStr"/>
      <c r="N68" s="2">
        <f>(G68-H68)/G68</f>
        <v/>
      </c>
      <c r="O68" s="2">
        <f>G68-H68</f>
        <v/>
      </c>
    </row>
    <row r="69">
      <c r="A69" s="2" t="n">
        <v>69</v>
      </c>
      <c r="B69" s="2" t="inlineStr">
        <is>
          <t>OD00068</t>
        </is>
      </c>
      <c r="C69" s="2" t="inlineStr">
        <is>
          <t>2026-09-18</t>
        </is>
      </c>
      <c r="D69" s="2" t="inlineStr">
        <is>
          <t>合肥</t>
        </is>
      </c>
      <c r="E69" s="2" t="inlineStr">
        <is>
          <t>门店</t>
        </is>
      </c>
      <c r="F69" s="2" t="inlineStr">
        <is>
          <t>周边</t>
        </is>
      </c>
      <c r="G69" s="2" t="n">
        <v>480</v>
      </c>
      <c r="H69" s="2" t="n">
        <v>347</v>
      </c>
      <c r="I69" s="2" t="n">
        <v>60</v>
      </c>
      <c r="J69" s="2" t="inlineStr">
        <is>
          <t>否</t>
        </is>
      </c>
      <c r="K69" s="2" t="n">
        <v>3.9</v>
      </c>
      <c r="L69" s="2" t="inlineStr">
        <is>
          <t>有效</t>
        </is>
      </c>
      <c r="M69" s="3" t="inlineStr"/>
      <c r="N69" s="2">
        <f>(G69-H69)/G69</f>
        <v/>
      </c>
      <c r="O69" s="2">
        <f>G69-H69</f>
        <v/>
      </c>
    </row>
    <row r="70">
      <c r="A70" s="2" t="n">
        <v>70</v>
      </c>
      <c r="B70" s="2" t="inlineStr">
        <is>
          <t>OD00069</t>
        </is>
      </c>
      <c r="C70" s="2" t="inlineStr">
        <is>
          <t>2026-10-25</t>
        </is>
      </c>
      <c r="D70" s="2" t="inlineStr">
        <is>
          <t>苏州</t>
        </is>
      </c>
      <c r="E70" s="2" t="inlineStr">
        <is>
          <t>企业团购</t>
        </is>
      </c>
      <c r="F70" s="2" t="inlineStr">
        <is>
          <t>周边</t>
        </is>
      </c>
      <c r="G70" s="2" t="n">
        <v>231</v>
      </c>
      <c r="H70" s="2" t="n">
        <v>156</v>
      </c>
      <c r="I70" s="2" t="n">
        <v>73</v>
      </c>
      <c r="J70" s="2" t="inlineStr">
        <is>
          <t>否</t>
        </is>
      </c>
      <c r="K70" s="2" t="n">
        <v>4.3</v>
      </c>
      <c r="L70" s="2" t="inlineStr">
        <is>
          <t>有效</t>
        </is>
      </c>
      <c r="M70" s="3" t="inlineStr"/>
      <c r="N70" s="2">
        <f>(G70-H70)/G70</f>
        <v/>
      </c>
      <c r="O70" s="2">
        <f>G70-H70</f>
        <v/>
      </c>
    </row>
    <row r="71">
      <c r="A71" s="2" t="n">
        <v>71</v>
      </c>
      <c r="B71" s="2" t="inlineStr">
        <is>
          <t>OD00070</t>
        </is>
      </c>
      <c r="C71" s="2" t="inlineStr">
        <is>
          <t>2026-11-05</t>
        </is>
      </c>
      <c r="D71" s="2" t="inlineStr">
        <is>
          <t>苏州</t>
        </is>
      </c>
      <c r="E71" s="2" t="inlineStr">
        <is>
          <t>企业团购</t>
        </is>
      </c>
      <c r="F71" s="2" t="inlineStr">
        <is>
          <t>咖啡</t>
        </is>
      </c>
      <c r="G71" s="2" t="n">
        <v>619</v>
      </c>
      <c r="H71" s="2" t="n">
        <v>386</v>
      </c>
      <c r="I71" s="2" t="n">
        <v>31</v>
      </c>
      <c r="J71" s="2" t="inlineStr">
        <is>
          <t>否</t>
        </is>
      </c>
      <c r="K71" s="2" t="n">
        <v>4.1</v>
      </c>
      <c r="L71" s="2" t="inlineStr">
        <is>
          <t>有效</t>
        </is>
      </c>
      <c r="M71" s="3" t="inlineStr"/>
      <c r="N71" s="2">
        <f>(G71-H71)/G71</f>
        <v/>
      </c>
      <c r="O71" s="2">
        <f>G71-H71</f>
        <v/>
      </c>
    </row>
    <row r="72">
      <c r="A72" s="2" t="n">
        <v>72</v>
      </c>
      <c r="B72" s="2" t="inlineStr">
        <is>
          <t>OD00071</t>
        </is>
      </c>
      <c r="C72" s="2" t="inlineStr">
        <is>
          <t>2026-12-12</t>
        </is>
      </c>
      <c r="D72" s="2" t="inlineStr">
        <is>
          <t>宁波</t>
        </is>
      </c>
      <c r="E72" s="2" t="inlineStr">
        <is>
          <t>企业团购</t>
        </is>
      </c>
      <c r="F72" s="2" t="inlineStr">
        <is>
          <t>烘焙</t>
        </is>
      </c>
      <c r="G72" s="2" t="n">
        <v>233</v>
      </c>
      <c r="H72" s="2" t="n">
        <v>102</v>
      </c>
      <c r="I72" s="2" t="n">
        <v>49</v>
      </c>
      <c r="J72" s="2" t="inlineStr">
        <is>
          <t>否</t>
        </is>
      </c>
      <c r="K72" s="2" t="n">
        <v>3.6</v>
      </c>
      <c r="L72" s="2" t="inlineStr">
        <is>
          <t>有效</t>
        </is>
      </c>
      <c r="M72" s="3" t="inlineStr"/>
      <c r="N72" s="2">
        <f>(G72-H72)/G72</f>
        <v/>
      </c>
      <c r="O72" s="2">
        <f>G72-H72</f>
        <v/>
      </c>
    </row>
    <row r="73">
      <c r="A73" s="2" t="n">
        <v>73</v>
      </c>
      <c r="B73" s="2" t="inlineStr">
        <is>
          <t>OD00072</t>
        </is>
      </c>
      <c r="C73" s="2" t="inlineStr">
        <is>
          <t>2026-01-19</t>
        </is>
      </c>
      <c r="D73" s="2" t="inlineStr">
        <is>
          <t>合肥</t>
        </is>
      </c>
      <c r="E73" s="2" t="inlineStr">
        <is>
          <t>门店</t>
        </is>
      </c>
      <c r="F73" s="2" t="inlineStr">
        <is>
          <t>咖啡</t>
        </is>
      </c>
      <c r="G73" s="2" t="n">
        <v>352</v>
      </c>
      <c r="H73" s="2" t="n">
        <v>151</v>
      </c>
      <c r="I73" s="2" t="n">
        <v>46</v>
      </c>
      <c r="J73" s="2" t="inlineStr">
        <is>
          <t>否</t>
        </is>
      </c>
      <c r="K73" s="2" t="n">
        <v>4.1</v>
      </c>
      <c r="L73" s="2" t="inlineStr">
        <is>
          <t>有效</t>
        </is>
      </c>
      <c r="M73" s="3" t="inlineStr"/>
      <c r="N73" s="2">
        <f>(G73-H73)/G73</f>
        <v/>
      </c>
      <c r="O73" s="2">
        <f>G73-H73</f>
        <v/>
      </c>
    </row>
    <row r="74">
      <c r="A74" s="2" t="n">
        <v>74</v>
      </c>
      <c r="B74" s="2" t="inlineStr">
        <is>
          <t>OD00073</t>
        </is>
      </c>
      <c r="C74" s="2" t="inlineStr">
        <is>
          <t>2026-02-26</t>
        </is>
      </c>
      <c r="D74" s="2" t="inlineStr">
        <is>
          <t>上海</t>
        </is>
      </c>
      <c r="E74" s="2" t="inlineStr">
        <is>
          <t>小程序</t>
        </is>
      </c>
      <c r="F74" s="2" t="inlineStr">
        <is>
          <t>咖啡</t>
        </is>
      </c>
      <c r="G74" s="2" t="n">
        <v>587</v>
      </c>
      <c r="H74" s="2" t="n">
        <v>264</v>
      </c>
      <c r="I74" s="2" t="n">
        <v>32</v>
      </c>
      <c r="J74" s="2" t="inlineStr">
        <is>
          <t>是</t>
        </is>
      </c>
      <c r="K74" s="2" t="n">
        <v>3.5</v>
      </c>
      <c r="L74" s="2" t="inlineStr">
        <is>
          <t>有效</t>
        </is>
      </c>
      <c r="M74" s="3" t="inlineStr"/>
      <c r="N74" s="2">
        <f>(G74-H74)/G74</f>
        <v/>
      </c>
      <c r="O74" s="2">
        <f>G74-H74</f>
        <v/>
      </c>
    </row>
    <row r="75">
      <c r="A75" s="2" t="n">
        <v>75</v>
      </c>
      <c r="B75" s="2" t="inlineStr">
        <is>
          <t>OD00074</t>
        </is>
      </c>
      <c r="C75" s="2" t="inlineStr">
        <is>
          <t>2026-03-06</t>
        </is>
      </c>
      <c r="D75" s="2" t="inlineStr">
        <is>
          <t>合肥</t>
        </is>
      </c>
      <c r="E75" s="2" t="inlineStr">
        <is>
          <t>外卖平台</t>
        </is>
      </c>
      <c r="F75" s="2" t="inlineStr">
        <is>
          <t>周边</t>
        </is>
      </c>
      <c r="G75" s="2" t="n">
        <v>255</v>
      </c>
      <c r="H75" s="2" t="n">
        <v>178</v>
      </c>
      <c r="I75" s="2" t="n">
        <v>34</v>
      </c>
      <c r="J75" s="2" t="inlineStr">
        <is>
          <t>否</t>
        </is>
      </c>
      <c r="K75" s="2" t="n">
        <v>4.2</v>
      </c>
      <c r="L75" s="2" t="inlineStr">
        <is>
          <t>有效</t>
        </is>
      </c>
      <c r="M75" s="3" t="inlineStr"/>
      <c r="N75" s="2">
        <f>(G75-H75)/G75</f>
        <v/>
      </c>
      <c r="O75" s="2">
        <f>G75-H75</f>
        <v/>
      </c>
    </row>
    <row r="76">
      <c r="A76" s="2" t="n">
        <v>76</v>
      </c>
      <c r="B76" s="2" t="inlineStr">
        <is>
          <t>OD00075</t>
        </is>
      </c>
      <c r="C76" s="2" t="inlineStr">
        <is>
          <t>2026-04-13</t>
        </is>
      </c>
      <c r="D76" s="2" t="inlineStr">
        <is>
          <t>上海</t>
        </is>
      </c>
      <c r="E76" s="2" t="inlineStr">
        <is>
          <t>小程序</t>
        </is>
      </c>
      <c r="F76" s="2" t="inlineStr">
        <is>
          <t>轻食</t>
        </is>
      </c>
      <c r="G76" s="2" t="n">
        <v>310</v>
      </c>
      <c r="H76" s="2" t="n">
        <v>182</v>
      </c>
      <c r="I76" s="2" t="n">
        <v>85</v>
      </c>
      <c r="J76" s="2" t="inlineStr">
        <is>
          <t>否</t>
        </is>
      </c>
      <c r="K76" s="2" t="n">
        <v>3.5</v>
      </c>
      <c r="L76" s="2" t="inlineStr">
        <is>
          <t>有效</t>
        </is>
      </c>
      <c r="M76" s="3" t="inlineStr"/>
      <c r="N76" s="2">
        <f>(G76-H76)/G76</f>
        <v/>
      </c>
      <c r="O76" s="2">
        <f>G76-H76</f>
        <v/>
      </c>
    </row>
    <row r="77">
      <c r="A77" s="2" t="n">
        <v>77</v>
      </c>
      <c r="B77" s="2" t="inlineStr">
        <is>
          <t>OD00076</t>
        </is>
      </c>
      <c r="C77" s="2" t="inlineStr">
        <is>
          <t>2026-05-20</t>
        </is>
      </c>
      <c r="D77" s="2" t="inlineStr">
        <is>
          <t>南京</t>
        </is>
      </c>
      <c r="E77" s="2" t="inlineStr">
        <is>
          <t>小程序</t>
        </is>
      </c>
      <c r="F77" s="2" t="inlineStr">
        <is>
          <t>咖啡</t>
        </is>
      </c>
      <c r="G77" s="2" t="n">
        <v>668</v>
      </c>
      <c r="H77" s="2" t="n">
        <v>394</v>
      </c>
      <c r="I77" s="2" t="n">
        <v>95</v>
      </c>
      <c r="J77" s="2" t="inlineStr">
        <is>
          <t>否</t>
        </is>
      </c>
      <c r="K77" s="2" t="n">
        <v>4</v>
      </c>
      <c r="L77" s="2" t="inlineStr">
        <is>
          <t>有效</t>
        </is>
      </c>
      <c r="M77" s="3" t="inlineStr"/>
      <c r="N77" s="2">
        <f>(G77-H77)/G77</f>
        <v/>
      </c>
      <c r="O77" s="2">
        <f>G77-H77</f>
        <v/>
      </c>
    </row>
    <row r="78">
      <c r="A78" s="2" t="n">
        <v>78</v>
      </c>
      <c r="B78" s="2" t="inlineStr">
        <is>
          <t>OD00077</t>
        </is>
      </c>
      <c r="C78" s="2" t="inlineStr">
        <is>
          <t>2026-06-27</t>
        </is>
      </c>
      <c r="D78" s="2" t="inlineStr">
        <is>
          <t>上海</t>
        </is>
      </c>
      <c r="E78" s="2" t="inlineStr">
        <is>
          <t>企业团购</t>
        </is>
      </c>
      <c r="F78" s="2" t="inlineStr">
        <is>
          <t>茶饮</t>
        </is>
      </c>
      <c r="G78" s="2" t="n">
        <v>667</v>
      </c>
      <c r="H78" s="2" t="n">
        <v>419</v>
      </c>
      <c r="I78" s="2" t="n">
        <v>61</v>
      </c>
      <c r="J78" s="2" t="inlineStr">
        <is>
          <t>否</t>
        </is>
      </c>
      <c r="K78" s="2" t="n">
        <v>3.4</v>
      </c>
      <c r="L78" s="2" t="inlineStr">
        <is>
          <t>有效</t>
        </is>
      </c>
      <c r="M78" s="3" t="inlineStr"/>
      <c r="N78" s="2">
        <f>(G78-H78)/G78</f>
        <v/>
      </c>
      <c r="O78" s="2">
        <f>G78-H78</f>
        <v/>
      </c>
    </row>
    <row r="79">
      <c r="A79" s="2" t="n">
        <v>79</v>
      </c>
      <c r="B79" s="2" t="inlineStr">
        <is>
          <t>OD00078</t>
        </is>
      </c>
      <c r="C79" s="2" t="inlineStr">
        <is>
          <t>2026-07-07</t>
        </is>
      </c>
      <c r="D79" s="2" t="inlineStr">
        <is>
          <t>合肥</t>
        </is>
      </c>
      <c r="E79" s="2" t="inlineStr">
        <is>
          <t>外卖平台</t>
        </is>
      </c>
      <c r="F79" s="2" t="inlineStr">
        <is>
          <t>周边</t>
        </is>
      </c>
      <c r="G79" s="2" t="n">
        <v>325</v>
      </c>
      <c r="H79" s="2" t="n">
        <v>175</v>
      </c>
      <c r="I79" s="2" t="n">
        <v>73</v>
      </c>
      <c r="J79" s="2" t="inlineStr">
        <is>
          <t>否</t>
        </is>
      </c>
      <c r="K79" s="2" t="n">
        <v>3.4</v>
      </c>
      <c r="L79" s="2" t="inlineStr">
        <is>
          <t>有效</t>
        </is>
      </c>
      <c r="M79" s="3" t="inlineStr"/>
      <c r="N79" s="2">
        <f>(G79-H79)/G79</f>
        <v/>
      </c>
      <c r="O79" s="2">
        <f>G79-H79</f>
        <v/>
      </c>
    </row>
    <row r="80">
      <c r="A80" s="2" t="n">
        <v>80</v>
      </c>
      <c r="B80" s="2" t="inlineStr">
        <is>
          <t>OD00079</t>
        </is>
      </c>
      <c r="C80" s="2" t="inlineStr">
        <is>
          <t>2026-08-14</t>
        </is>
      </c>
      <c r="D80" s="2" t="inlineStr">
        <is>
          <t>上海</t>
        </is>
      </c>
      <c r="E80" s="2" t="inlineStr">
        <is>
          <t>小程序</t>
        </is>
      </c>
      <c r="F80" s="2" t="inlineStr">
        <is>
          <t>烘焙</t>
        </is>
      </c>
      <c r="G80" s="2" t="n">
        <v>42</v>
      </c>
      <c r="H80" s="2" t="n">
        <v>26</v>
      </c>
      <c r="I80" s="2" t="n">
        <v>14</v>
      </c>
      <c r="J80" s="2" t="inlineStr">
        <is>
          <t>是</t>
        </is>
      </c>
      <c r="K80" s="2" t="n">
        <v>3.4</v>
      </c>
      <c r="L80" s="2" t="inlineStr">
        <is>
          <t>有效</t>
        </is>
      </c>
      <c r="M80" s="3" t="inlineStr"/>
      <c r="N80" s="2">
        <f>(G80-H80)/G80</f>
        <v/>
      </c>
      <c r="O80" s="2">
        <f>G80-H80</f>
        <v/>
      </c>
    </row>
    <row r="81">
      <c r="A81" s="2" t="n">
        <v>81</v>
      </c>
      <c r="B81" s="2" t="inlineStr">
        <is>
          <t>OD00080</t>
        </is>
      </c>
      <c r="C81" s="2" t="inlineStr">
        <is>
          <t>2026-09-21</t>
        </is>
      </c>
      <c r="D81" s="2" t="inlineStr">
        <is>
          <t>苏州</t>
        </is>
      </c>
      <c r="E81" s="2" t="inlineStr">
        <is>
          <t>小程序</t>
        </is>
      </c>
      <c r="F81" s="2" t="inlineStr">
        <is>
          <t>茶饮</t>
        </is>
      </c>
      <c r="G81" s="2" t="n">
        <v>662</v>
      </c>
      <c r="H81" s="2" t="n">
        <v>372</v>
      </c>
      <c r="I81" s="2" t="n">
        <v>14</v>
      </c>
      <c r="J81" s="2" t="inlineStr">
        <is>
          <t>否</t>
        </is>
      </c>
      <c r="K81" s="2" t="n">
        <v>3.8</v>
      </c>
      <c r="L81" s="2" t="inlineStr">
        <is>
          <t>有效</t>
        </is>
      </c>
      <c r="M81" s="3" t="inlineStr"/>
      <c r="N81" s="2">
        <f>(G81-H81)/G81</f>
        <v/>
      </c>
      <c r="O81" s="2">
        <f>G81-H81</f>
        <v/>
      </c>
    </row>
    <row r="82">
      <c r="A82" s="2" t="n">
        <v>82</v>
      </c>
      <c r="B82" s="2" t="inlineStr">
        <is>
          <t>OD00081</t>
        </is>
      </c>
      <c r="C82" s="2" t="inlineStr">
        <is>
          <t>2026-10-01</t>
        </is>
      </c>
      <c r="D82" s="2" t="inlineStr">
        <is>
          <t>上海</t>
        </is>
      </c>
      <c r="E82" s="2" t="inlineStr">
        <is>
          <t>企业团购</t>
        </is>
      </c>
      <c r="F82" s="2" t="inlineStr">
        <is>
          <t>轻食</t>
        </is>
      </c>
      <c r="G82" s="2" t="n">
        <v>603</v>
      </c>
      <c r="H82" s="2" t="n">
        <v>435</v>
      </c>
      <c r="I82" s="2" t="n">
        <v>95</v>
      </c>
      <c r="J82" s="2" t="inlineStr">
        <is>
          <t>否</t>
        </is>
      </c>
      <c r="K82" s="2" t="n">
        <v>4.8</v>
      </c>
      <c r="L82" s="2" t="inlineStr">
        <is>
          <t>有效</t>
        </is>
      </c>
      <c r="M82" s="3" t="inlineStr"/>
      <c r="N82" s="2">
        <f>(G82-H82)/G82</f>
        <v/>
      </c>
      <c r="O82" s="2">
        <f>G82-H82</f>
        <v/>
      </c>
    </row>
    <row r="83">
      <c r="A83" s="2" t="n">
        <v>83</v>
      </c>
      <c r="B83" s="2" t="inlineStr">
        <is>
          <t>OD00082</t>
        </is>
      </c>
      <c r="C83" s="2" t="inlineStr">
        <is>
          <t>2026-11-08</t>
        </is>
      </c>
      <c r="D83" s="2" t="inlineStr">
        <is>
          <t>合肥</t>
        </is>
      </c>
      <c r="E83" s="2" t="inlineStr">
        <is>
          <t>外卖平台</t>
        </is>
      </c>
      <c r="F83" s="2" t="inlineStr">
        <is>
          <t>茶饮</t>
        </is>
      </c>
      <c r="G83" s="2" t="n">
        <v>273</v>
      </c>
      <c r="H83" s="2" t="n">
        <v>156</v>
      </c>
      <c r="I83" s="2" t="n">
        <v>94</v>
      </c>
      <c r="J83" s="2" t="inlineStr">
        <is>
          <t>否</t>
        </is>
      </c>
      <c r="K83" s="2" t="n">
        <v>4.7</v>
      </c>
      <c r="L83" s="2" t="inlineStr">
        <is>
          <t>有效</t>
        </is>
      </c>
      <c r="M83" s="3" t="inlineStr"/>
      <c r="N83" s="2">
        <f>(G83-H83)/G83</f>
        <v/>
      </c>
      <c r="O83" s="2">
        <f>G83-H83</f>
        <v/>
      </c>
    </row>
    <row r="84">
      <c r="A84" s="2" t="n">
        <v>84</v>
      </c>
      <c r="B84" s="2" t="inlineStr">
        <is>
          <t>OD00083</t>
        </is>
      </c>
      <c r="C84" s="2" t="inlineStr">
        <is>
          <t>2026-12-15</t>
        </is>
      </c>
      <c r="D84" s="2" t="inlineStr">
        <is>
          <t>南京</t>
        </is>
      </c>
      <c r="E84" s="2" t="inlineStr">
        <is>
          <t>门店</t>
        </is>
      </c>
      <c r="F84" s="2" t="inlineStr">
        <is>
          <t>轻食</t>
        </is>
      </c>
      <c r="G84" s="2" t="n">
        <v>237</v>
      </c>
      <c r="H84" s="2" t="n">
        <v>160</v>
      </c>
      <c r="I84" s="2" t="n">
        <v>23</v>
      </c>
      <c r="J84" s="2" t="inlineStr">
        <is>
          <t>是</t>
        </is>
      </c>
      <c r="K84" s="2" t="n">
        <v>3.5</v>
      </c>
      <c r="L84" s="2" t="inlineStr">
        <is>
          <t>有效</t>
        </is>
      </c>
      <c r="M84" s="3" t="inlineStr"/>
      <c r="N84" s="2">
        <f>(G84-H84)/G84</f>
        <v/>
      </c>
      <c r="O84" s="2">
        <f>G84-H84</f>
        <v/>
      </c>
    </row>
    <row r="85">
      <c r="A85" s="2" t="n">
        <v>85</v>
      </c>
      <c r="B85" s="2" t="inlineStr">
        <is>
          <t>OD00084</t>
        </is>
      </c>
      <c r="C85" s="2" t="inlineStr">
        <is>
          <t>2026-01-22</t>
        </is>
      </c>
      <c r="D85" s="2" t="inlineStr">
        <is>
          <t>南京</t>
        </is>
      </c>
      <c r="E85" s="2" t="inlineStr">
        <is>
          <t>小程序</t>
        </is>
      </c>
      <c r="F85" s="2" t="inlineStr">
        <is>
          <t>茶饮</t>
        </is>
      </c>
      <c r="G85" s="2" t="n">
        <v>234</v>
      </c>
      <c r="H85" s="2" t="n">
        <v>114</v>
      </c>
      <c r="I85" s="2" t="n">
        <v>62</v>
      </c>
      <c r="J85" s="2" t="inlineStr">
        <is>
          <t>否</t>
        </is>
      </c>
      <c r="K85" s="2" t="n">
        <v>4.8</v>
      </c>
      <c r="L85" s="2" t="inlineStr">
        <is>
          <t>有效</t>
        </is>
      </c>
      <c r="M85" s="3" t="inlineStr"/>
      <c r="N85" s="2">
        <f>(G85-H85)/G85</f>
        <v/>
      </c>
      <c r="O85" s="2">
        <f>G85-H85</f>
        <v/>
      </c>
    </row>
    <row r="86">
      <c r="A86" s="2" t="n">
        <v>86</v>
      </c>
      <c r="B86" s="2" t="inlineStr">
        <is>
          <t>OD00085</t>
        </is>
      </c>
      <c r="C86" s="2" t="inlineStr">
        <is>
          <t>2026-02-02</t>
        </is>
      </c>
      <c r="D86" s="2" t="inlineStr">
        <is>
          <t>合肥</t>
        </is>
      </c>
      <c r="E86" s="2" t="inlineStr">
        <is>
          <t>小程序</t>
        </is>
      </c>
      <c r="F86" s="2" t="inlineStr">
        <is>
          <t>轻食</t>
        </is>
      </c>
      <c r="G86" s="2" t="n">
        <v>175</v>
      </c>
      <c r="H86" s="2" t="n">
        <v>107</v>
      </c>
      <c r="I86" s="2" t="n">
        <v>86</v>
      </c>
      <c r="J86" s="2" t="inlineStr">
        <is>
          <t>否</t>
        </is>
      </c>
      <c r="K86" s="2" t="n">
        <v>3.4</v>
      </c>
      <c r="L86" s="2" t="inlineStr">
        <is>
          <t>有效</t>
        </is>
      </c>
      <c r="M86" s="3" t="inlineStr"/>
      <c r="N86" s="2">
        <f>(G86-H86)/G86</f>
        <v/>
      </c>
      <c r="O86" s="2">
        <f>G86-H86</f>
        <v/>
      </c>
    </row>
    <row r="87">
      <c r="A87" s="2" t="n">
        <v>87</v>
      </c>
      <c r="B87" s="2" t="inlineStr">
        <is>
          <t>OD00086</t>
        </is>
      </c>
      <c r="C87" s="2" t="inlineStr">
        <is>
          <t>2026-03-09</t>
        </is>
      </c>
      <c r="D87" s="2" t="inlineStr">
        <is>
          <t>南京</t>
        </is>
      </c>
      <c r="E87" s="2" t="inlineStr">
        <is>
          <t>外卖平台</t>
        </is>
      </c>
      <c r="F87" s="2" t="inlineStr">
        <is>
          <t>烘焙</t>
        </is>
      </c>
      <c r="G87" s="2" t="n">
        <v>390</v>
      </c>
      <c r="H87" s="2" t="n">
        <v>281</v>
      </c>
      <c r="I87" s="2" t="n">
        <v>12</v>
      </c>
      <c r="J87" s="2" t="inlineStr">
        <is>
          <t>否</t>
        </is>
      </c>
      <c r="K87" s="2" t="n">
        <v>4.2</v>
      </c>
      <c r="L87" s="2" t="inlineStr">
        <is>
          <t>有效</t>
        </is>
      </c>
      <c r="M87" s="3" t="inlineStr"/>
      <c r="N87" s="2">
        <f>(G87-H87)/G87</f>
        <v/>
      </c>
      <c r="O87" s="2">
        <f>G87-H87</f>
        <v/>
      </c>
    </row>
    <row r="88">
      <c r="A88" s="2" t="n">
        <v>88</v>
      </c>
      <c r="B88" s="2" t="inlineStr">
        <is>
          <t>OD00087</t>
        </is>
      </c>
      <c r="C88" s="2" t="inlineStr">
        <is>
          <t>2026-04-16</t>
        </is>
      </c>
      <c r="D88" s="2" t="inlineStr">
        <is>
          <t>杭州</t>
        </is>
      </c>
      <c r="E88" s="2" t="inlineStr">
        <is>
          <t>小程序</t>
        </is>
      </c>
      <c r="F88" s="2" t="inlineStr">
        <is>
          <t>咖啡</t>
        </is>
      </c>
      <c r="G88" s="2" t="n">
        <v>275</v>
      </c>
      <c r="H88" s="2" t="n">
        <v>121</v>
      </c>
      <c r="I88" s="2" t="n">
        <v>90</v>
      </c>
      <c r="J88" s="2" t="inlineStr">
        <is>
          <t>否</t>
        </is>
      </c>
      <c r="K88" s="2" t="n">
        <v>4.1</v>
      </c>
      <c r="L88" s="2" t="inlineStr">
        <is>
          <t>有效</t>
        </is>
      </c>
      <c r="M88" s="3" t="inlineStr"/>
      <c r="N88" s="2">
        <f>(G88-H88)/G88</f>
        <v/>
      </c>
      <c r="O88" s="2">
        <f>G88-H88</f>
        <v/>
      </c>
    </row>
    <row r="89">
      <c r="A89" s="4" t="n">
        <v>89</v>
      </c>
      <c r="B89" s="4" t="inlineStr">
        <is>
          <t>OD00088</t>
        </is>
      </c>
      <c r="C89" s="4" t="inlineStr">
        <is>
          <t>2026-05-23</t>
        </is>
      </c>
      <c r="D89" s="4" t="inlineStr">
        <is>
          <t>苏州</t>
        </is>
      </c>
      <c r="E89" s="4" t="inlineStr">
        <is>
          <t>外卖平台</t>
        </is>
      </c>
      <c r="F89" s="4" t="inlineStr">
        <is>
          <t>轻食</t>
        </is>
      </c>
      <c r="G89" s="4" t="inlineStr"/>
      <c r="H89" s="4" t="n">
        <v>179</v>
      </c>
      <c r="I89" s="4" t="n">
        <v>62</v>
      </c>
      <c r="J89" s="4" t="inlineStr">
        <is>
          <t>否</t>
        </is>
      </c>
      <c r="K89" s="4" t="n">
        <v>3.4</v>
      </c>
      <c r="L89" s="4" t="inlineStr">
        <is>
          <t>异常</t>
        </is>
      </c>
      <c r="M89" s="5" t="inlineStr">
        <is>
          <t>销售额缺失</t>
        </is>
      </c>
      <c r="N89" s="4" t="inlineStr">
        <is>
          <t>N/A</t>
        </is>
      </c>
      <c r="O89" s="4" t="inlineStr">
        <is>
          <t>N/A</t>
        </is>
      </c>
    </row>
    <row r="90">
      <c r="A90" s="2" t="n">
        <v>90</v>
      </c>
      <c r="B90" s="2" t="inlineStr">
        <is>
          <t>OD00089</t>
        </is>
      </c>
      <c r="C90" s="2" t="inlineStr">
        <is>
          <t>2026-06-03</t>
        </is>
      </c>
      <c r="D90" s="2" t="inlineStr">
        <is>
          <t>宁波</t>
        </is>
      </c>
      <c r="E90" s="2" t="inlineStr">
        <is>
          <t>外卖平台</t>
        </is>
      </c>
      <c r="F90" s="2" t="inlineStr">
        <is>
          <t>周边</t>
        </is>
      </c>
      <c r="G90" s="2" t="n">
        <v>206</v>
      </c>
      <c r="H90" s="2" t="n">
        <v>116</v>
      </c>
      <c r="I90" s="2" t="n">
        <v>77</v>
      </c>
      <c r="J90" s="2" t="inlineStr">
        <is>
          <t>是</t>
        </is>
      </c>
      <c r="K90" s="2" t="n">
        <v>4.7</v>
      </c>
      <c r="L90" s="2" t="inlineStr">
        <is>
          <t>有效</t>
        </is>
      </c>
      <c r="M90" s="3" t="inlineStr"/>
      <c r="N90" s="2">
        <f>(G90-H90)/G90</f>
        <v/>
      </c>
      <c r="O90" s="2">
        <f>G90-H90</f>
        <v/>
      </c>
    </row>
    <row r="91">
      <c r="A91" s="2" t="n">
        <v>91</v>
      </c>
      <c r="B91" s="2" t="inlineStr">
        <is>
          <t>OD00090</t>
        </is>
      </c>
      <c r="C91" s="2" t="inlineStr">
        <is>
          <t>2026-07-10</t>
        </is>
      </c>
      <c r="D91" s="2" t="inlineStr">
        <is>
          <t>杭州</t>
        </is>
      </c>
      <c r="E91" s="2" t="inlineStr">
        <is>
          <t>门店</t>
        </is>
      </c>
      <c r="F91" s="2" t="inlineStr">
        <is>
          <t>轻食</t>
        </is>
      </c>
      <c r="G91" s="2" t="n">
        <v>352</v>
      </c>
      <c r="H91" s="2" t="n">
        <v>180</v>
      </c>
      <c r="I91" s="2" t="n">
        <v>38</v>
      </c>
      <c r="J91" s="2" t="inlineStr">
        <is>
          <t>否</t>
        </is>
      </c>
      <c r="K91" s="2" t="n">
        <v>3.9</v>
      </c>
      <c r="L91" s="2" t="inlineStr">
        <is>
          <t>有效</t>
        </is>
      </c>
      <c r="M91" s="3" t="inlineStr"/>
      <c r="N91" s="2">
        <f>(G91-H91)/G91</f>
        <v/>
      </c>
      <c r="O91" s="2">
        <f>G91-H91</f>
        <v/>
      </c>
    </row>
    <row r="92">
      <c r="A92" s="2" t="n">
        <v>92</v>
      </c>
      <c r="B92" s="2" t="inlineStr">
        <is>
          <t>OD00091</t>
        </is>
      </c>
      <c r="C92" s="2" t="inlineStr">
        <is>
          <t>2026-08-17</t>
        </is>
      </c>
      <c r="D92" s="2" t="inlineStr">
        <is>
          <t>杭州</t>
        </is>
      </c>
      <c r="E92" s="2" t="inlineStr">
        <is>
          <t>企业团购</t>
        </is>
      </c>
      <c r="F92" s="2" t="inlineStr">
        <is>
          <t>周边</t>
        </is>
      </c>
      <c r="G92" s="2" t="n">
        <v>441</v>
      </c>
      <c r="H92" s="2" t="n">
        <v>276</v>
      </c>
      <c r="I92" s="2" t="n">
        <v>61</v>
      </c>
      <c r="J92" s="2" t="inlineStr">
        <is>
          <t>否</t>
        </is>
      </c>
      <c r="K92" s="2" t="n">
        <v>3.5</v>
      </c>
      <c r="L92" s="2" t="inlineStr">
        <is>
          <t>有效</t>
        </is>
      </c>
      <c r="M92" s="3" t="inlineStr"/>
      <c r="N92" s="2">
        <f>(G92-H92)/G92</f>
        <v/>
      </c>
      <c r="O92" s="2">
        <f>G92-H92</f>
        <v/>
      </c>
    </row>
    <row r="93">
      <c r="A93" s="2" t="n">
        <v>93</v>
      </c>
      <c r="B93" s="2" t="inlineStr">
        <is>
          <t>OD00092</t>
        </is>
      </c>
      <c r="C93" s="2" t="inlineStr">
        <is>
          <t>2026-09-24</t>
        </is>
      </c>
      <c r="D93" s="2" t="inlineStr">
        <is>
          <t>杭州</t>
        </is>
      </c>
      <c r="E93" s="2" t="inlineStr">
        <is>
          <t>企业团购</t>
        </is>
      </c>
      <c r="F93" s="2" t="inlineStr">
        <is>
          <t>轻食</t>
        </is>
      </c>
      <c r="G93" s="2" t="n">
        <v>284</v>
      </c>
      <c r="H93" s="2" t="n">
        <v>120</v>
      </c>
      <c r="I93" s="2" t="n">
        <v>28</v>
      </c>
      <c r="J93" s="2" t="inlineStr">
        <is>
          <t>否</t>
        </is>
      </c>
      <c r="K93" s="2" t="n">
        <v>4.2</v>
      </c>
      <c r="L93" s="2" t="inlineStr">
        <is>
          <t>有效</t>
        </is>
      </c>
      <c r="M93" s="3" t="inlineStr"/>
      <c r="N93" s="2">
        <f>(G93-H93)/G93</f>
        <v/>
      </c>
      <c r="O93" s="2">
        <f>G93-H93</f>
        <v/>
      </c>
    </row>
    <row r="94">
      <c r="A94" s="2" t="n">
        <v>94</v>
      </c>
      <c r="B94" s="2" t="inlineStr">
        <is>
          <t>OD00093</t>
        </is>
      </c>
      <c r="C94" s="2" t="inlineStr">
        <is>
          <t>2026-10-04</t>
        </is>
      </c>
      <c r="D94" s="2" t="inlineStr">
        <is>
          <t>上海</t>
        </is>
      </c>
      <c r="E94" s="2" t="inlineStr">
        <is>
          <t>小程序</t>
        </is>
      </c>
      <c r="F94" s="2" t="inlineStr">
        <is>
          <t>咖啡</t>
        </is>
      </c>
      <c r="G94" s="2" t="n">
        <v>497</v>
      </c>
      <c r="H94" s="2" t="n">
        <v>372</v>
      </c>
      <c r="I94" s="2" t="n">
        <v>50</v>
      </c>
      <c r="J94" s="2" t="inlineStr">
        <is>
          <t>否</t>
        </is>
      </c>
      <c r="K94" s="2" t="n">
        <v>4.8</v>
      </c>
      <c r="L94" s="2" t="inlineStr">
        <is>
          <t>有效</t>
        </is>
      </c>
      <c r="M94" s="3" t="inlineStr"/>
      <c r="N94" s="2">
        <f>(G94-H94)/G94</f>
        <v/>
      </c>
      <c r="O94" s="2">
        <f>G94-H94</f>
        <v/>
      </c>
    </row>
    <row r="95">
      <c r="A95" s="2" t="n">
        <v>95</v>
      </c>
      <c r="B95" s="2" t="inlineStr">
        <is>
          <t>OD00094</t>
        </is>
      </c>
      <c r="C95" s="2" t="inlineStr">
        <is>
          <t>2026-11-11</t>
        </is>
      </c>
      <c r="D95" s="2" t="inlineStr">
        <is>
          <t>合肥</t>
        </is>
      </c>
      <c r="E95" s="2" t="inlineStr">
        <is>
          <t>外卖平台</t>
        </is>
      </c>
      <c r="F95" s="2" t="inlineStr">
        <is>
          <t>茶饮</t>
        </is>
      </c>
      <c r="G95" s="2" t="n">
        <v>465</v>
      </c>
      <c r="H95" s="2" t="n">
        <v>197</v>
      </c>
      <c r="I95" s="2" t="n">
        <v>37</v>
      </c>
      <c r="J95" s="2" t="inlineStr">
        <is>
          <t>否</t>
        </is>
      </c>
      <c r="K95" s="2" t="n">
        <v>3.3</v>
      </c>
      <c r="L95" s="2" t="inlineStr">
        <is>
          <t>有效</t>
        </is>
      </c>
      <c r="M95" s="3" t="inlineStr"/>
      <c r="N95" s="2">
        <f>(G95-H95)/G95</f>
        <v/>
      </c>
      <c r="O95" s="2">
        <f>G95-H95</f>
        <v/>
      </c>
    </row>
    <row r="96">
      <c r="A96" s="2" t="n">
        <v>96</v>
      </c>
      <c r="B96" s="2" t="inlineStr">
        <is>
          <t>OD00095</t>
        </is>
      </c>
      <c r="C96" s="2" t="inlineStr">
        <is>
          <t>2026-12-18</t>
        </is>
      </c>
      <c r="D96" s="2" t="inlineStr">
        <is>
          <t>南京</t>
        </is>
      </c>
      <c r="E96" s="2" t="inlineStr">
        <is>
          <t>外卖平台</t>
        </is>
      </c>
      <c r="F96" s="2" t="inlineStr">
        <is>
          <t>咖啡</t>
        </is>
      </c>
      <c r="G96" s="2" t="n">
        <v>238</v>
      </c>
      <c r="H96" s="2" t="n">
        <v>108</v>
      </c>
      <c r="I96" s="2" t="n">
        <v>15</v>
      </c>
      <c r="J96" s="2" t="inlineStr">
        <is>
          <t>是</t>
        </is>
      </c>
      <c r="K96" s="2" t="n">
        <v>4.6</v>
      </c>
      <c r="L96" s="2" t="inlineStr">
        <is>
          <t>有效</t>
        </is>
      </c>
      <c r="M96" s="3" t="inlineStr"/>
      <c r="N96" s="2">
        <f>(G96-H96)/G96</f>
        <v/>
      </c>
      <c r="O96" s="2">
        <f>G96-H96</f>
        <v/>
      </c>
    </row>
    <row r="97">
      <c r="A97" s="2" t="n">
        <v>97</v>
      </c>
      <c r="B97" s="2" t="inlineStr">
        <is>
          <t>OD00096</t>
        </is>
      </c>
      <c r="C97" s="2" t="inlineStr">
        <is>
          <t>2026-01-25</t>
        </is>
      </c>
      <c r="D97" s="2" t="inlineStr">
        <is>
          <t>苏州</t>
        </is>
      </c>
      <c r="E97" s="2" t="inlineStr">
        <is>
          <t>外卖平台</t>
        </is>
      </c>
      <c r="F97" s="2" t="inlineStr">
        <is>
          <t>轻食</t>
        </is>
      </c>
      <c r="G97" s="2" t="n">
        <v>323</v>
      </c>
      <c r="H97" s="2" t="n">
        <v>180</v>
      </c>
      <c r="I97" s="2" t="n">
        <v>52</v>
      </c>
      <c r="J97" s="2" t="inlineStr">
        <is>
          <t>否</t>
        </is>
      </c>
      <c r="K97" s="2" t="n">
        <v>4.8</v>
      </c>
      <c r="L97" s="2" t="inlineStr">
        <is>
          <t>有效</t>
        </is>
      </c>
      <c r="M97" s="3" t="inlineStr"/>
      <c r="N97" s="2">
        <f>(G97-H97)/G97</f>
        <v/>
      </c>
      <c r="O97" s="2">
        <f>G97-H97</f>
        <v/>
      </c>
    </row>
    <row r="98">
      <c r="A98" s="2" t="n">
        <v>98</v>
      </c>
      <c r="B98" s="2" t="inlineStr">
        <is>
          <t>OD00097</t>
        </is>
      </c>
      <c r="C98" s="2" t="inlineStr">
        <is>
          <t>2026-02-05</t>
        </is>
      </c>
      <c r="D98" s="2" t="inlineStr">
        <is>
          <t>南京</t>
        </is>
      </c>
      <c r="E98" s="2" t="inlineStr">
        <is>
          <t>门店</t>
        </is>
      </c>
      <c r="F98" s="2" t="inlineStr">
        <is>
          <t>咖啡</t>
        </is>
      </c>
      <c r="G98" s="2" t="n">
        <v>170</v>
      </c>
      <c r="H98" s="2" t="n">
        <v>99</v>
      </c>
      <c r="I98" s="2" t="n">
        <v>72</v>
      </c>
      <c r="J98" s="2" t="inlineStr">
        <is>
          <t>否</t>
        </is>
      </c>
      <c r="K98" s="2" t="n">
        <v>3.6</v>
      </c>
      <c r="L98" s="2" t="inlineStr">
        <is>
          <t>有效</t>
        </is>
      </c>
      <c r="M98" s="3" t="inlineStr"/>
      <c r="N98" s="2">
        <f>(G98-H98)/G98</f>
        <v/>
      </c>
      <c r="O98" s="2">
        <f>G98-H98</f>
        <v/>
      </c>
    </row>
    <row r="99">
      <c r="A99" s="2" t="n">
        <v>99</v>
      </c>
      <c r="B99" s="2" t="inlineStr">
        <is>
          <t>OD00098</t>
        </is>
      </c>
      <c r="C99" s="2" t="inlineStr">
        <is>
          <t>2026-03-12</t>
        </is>
      </c>
      <c r="D99" s="2" t="inlineStr">
        <is>
          <t>上海</t>
        </is>
      </c>
      <c r="E99" s="2" t="inlineStr">
        <is>
          <t>企业团购</t>
        </is>
      </c>
      <c r="F99" s="2" t="inlineStr">
        <is>
          <t>轻食</t>
        </is>
      </c>
      <c r="G99" s="2" t="n">
        <v>66</v>
      </c>
      <c r="H99" s="2" t="n">
        <v>32</v>
      </c>
      <c r="I99" s="2" t="n">
        <v>43</v>
      </c>
      <c r="J99" s="2" t="inlineStr">
        <is>
          <t>否</t>
        </is>
      </c>
      <c r="K99" s="2" t="n">
        <v>4.3</v>
      </c>
      <c r="L99" s="2" t="inlineStr">
        <is>
          <t>有效</t>
        </is>
      </c>
      <c r="M99" s="3" t="inlineStr"/>
      <c r="N99" s="2">
        <f>(G99-H99)/G99</f>
        <v/>
      </c>
      <c r="O99" s="2">
        <f>G99-H99</f>
        <v/>
      </c>
    </row>
    <row r="100">
      <c r="A100" s="4" t="n">
        <v>100</v>
      </c>
      <c r="B100" s="4" t="inlineStr">
        <is>
          <t>OD00099</t>
        </is>
      </c>
      <c r="C100" s="4" t="inlineStr">
        <is>
          <t>2026-04-19</t>
        </is>
      </c>
      <c r="D100" s="4" t="inlineStr">
        <is>
          <t>宁波</t>
        </is>
      </c>
      <c r="E100" s="4" t="inlineStr">
        <is>
          <t>小程序</t>
        </is>
      </c>
      <c r="F100" s="4" t="inlineStr">
        <is>
          <t>茶饮</t>
        </is>
      </c>
      <c r="G100" s="4" t="n">
        <v>413</v>
      </c>
      <c r="H100" s="4" t="n">
        <v>304</v>
      </c>
      <c r="I100" s="4" t="inlineStr"/>
      <c r="J100" s="4" t="inlineStr">
        <is>
          <t>否</t>
        </is>
      </c>
      <c r="K100" s="4" t="n">
        <v>4.9</v>
      </c>
      <c r="L100" s="4" t="inlineStr">
        <is>
          <t>异常</t>
        </is>
      </c>
      <c r="M100" s="5" t="inlineStr">
        <is>
          <t>配送时长缺失</t>
        </is>
      </c>
      <c r="N100" s="4">
        <f>(G100-H100)/G100</f>
        <v/>
      </c>
      <c r="O100" s="4">
        <f>G100-H100</f>
        <v/>
      </c>
    </row>
    <row r="101">
      <c r="A101" s="2" t="n">
        <v>101</v>
      </c>
      <c r="B101" s="2" t="inlineStr">
        <is>
          <t>OD00100</t>
        </is>
      </c>
      <c r="C101" s="2" t="inlineStr">
        <is>
          <t>2026-05-26</t>
        </is>
      </c>
      <c r="D101" s="2" t="inlineStr">
        <is>
          <t>苏州</t>
        </is>
      </c>
      <c r="E101" s="2" t="inlineStr">
        <is>
          <t>门店</t>
        </is>
      </c>
      <c r="F101" s="2" t="inlineStr">
        <is>
          <t>轻食</t>
        </is>
      </c>
      <c r="G101" s="2" t="n">
        <v>606</v>
      </c>
      <c r="H101" s="2" t="n">
        <v>349</v>
      </c>
      <c r="I101" s="2" t="n">
        <v>62</v>
      </c>
      <c r="J101" s="2" t="inlineStr">
        <is>
          <t>否</t>
        </is>
      </c>
      <c r="K101" s="2" t="n">
        <v>3.5</v>
      </c>
      <c r="L101" s="2" t="inlineStr">
        <is>
          <t>有效</t>
        </is>
      </c>
      <c r="M101" s="3" t="inlineStr"/>
      <c r="N101" s="2">
        <f>(G101-H101)/G101</f>
        <v/>
      </c>
      <c r="O101" s="2">
        <f>G101-H101</f>
        <v/>
      </c>
    </row>
    <row r="102">
      <c r="A102" s="2" t="n">
        <v>102</v>
      </c>
      <c r="B102" s="2" t="inlineStr">
        <is>
          <t>OD00101</t>
        </is>
      </c>
      <c r="C102" s="2" t="inlineStr">
        <is>
          <t>2026-06-06</t>
        </is>
      </c>
      <c r="D102" s="2" t="inlineStr">
        <is>
          <t>合肥</t>
        </is>
      </c>
      <c r="E102" s="2" t="inlineStr">
        <is>
          <t>门店</t>
        </is>
      </c>
      <c r="F102" s="2" t="inlineStr">
        <is>
          <t>烘焙</t>
        </is>
      </c>
      <c r="G102" s="2" t="n">
        <v>257</v>
      </c>
      <c r="H102" s="2" t="n">
        <v>119</v>
      </c>
      <c r="I102" s="2" t="n">
        <v>16</v>
      </c>
      <c r="J102" s="2" t="inlineStr">
        <is>
          <t>否</t>
        </is>
      </c>
      <c r="K102" s="2" t="n">
        <v>4</v>
      </c>
      <c r="L102" s="2" t="inlineStr">
        <is>
          <t>有效</t>
        </is>
      </c>
      <c r="M102" s="3" t="inlineStr"/>
      <c r="N102" s="2">
        <f>(G102-H102)/G102</f>
        <v/>
      </c>
      <c r="O102" s="2">
        <f>G102-H102</f>
        <v/>
      </c>
    </row>
    <row r="103">
      <c r="A103" s="2" t="n">
        <v>103</v>
      </c>
      <c r="B103" s="2" t="inlineStr">
        <is>
          <t>OD00102</t>
        </is>
      </c>
      <c r="C103" s="2" t="inlineStr">
        <is>
          <t>2026-07-13</t>
        </is>
      </c>
      <c r="D103" s="2" t="inlineStr">
        <is>
          <t>杭州</t>
        </is>
      </c>
      <c r="E103" s="2" t="inlineStr">
        <is>
          <t>小程序</t>
        </is>
      </c>
      <c r="F103" s="2" t="inlineStr">
        <is>
          <t>咖啡</t>
        </is>
      </c>
      <c r="G103" s="2" t="n">
        <v>358</v>
      </c>
      <c r="H103" s="2" t="n">
        <v>225</v>
      </c>
      <c r="I103" s="2" t="n">
        <v>27</v>
      </c>
      <c r="J103" s="2" t="inlineStr">
        <is>
          <t>否</t>
        </is>
      </c>
      <c r="K103" s="2" t="n">
        <v>4.8</v>
      </c>
      <c r="L103" s="2" t="inlineStr">
        <is>
          <t>有效</t>
        </is>
      </c>
      <c r="M103" s="3" t="inlineStr"/>
      <c r="N103" s="2">
        <f>(G103-H103)/G103</f>
        <v/>
      </c>
      <c r="O103" s="2">
        <f>G103-H103</f>
        <v/>
      </c>
    </row>
    <row r="104">
      <c r="A104" s="2" t="n">
        <v>104</v>
      </c>
      <c r="B104" s="2" t="inlineStr">
        <is>
          <t>OD00103</t>
        </is>
      </c>
      <c r="C104" s="2" t="inlineStr">
        <is>
          <t>2026-08-20</t>
        </is>
      </c>
      <c r="D104" s="2" t="inlineStr">
        <is>
          <t>苏州</t>
        </is>
      </c>
      <c r="E104" s="2" t="inlineStr">
        <is>
          <t>企业团购</t>
        </is>
      </c>
      <c r="F104" s="2" t="inlineStr">
        <is>
          <t>周边</t>
        </is>
      </c>
      <c r="G104" s="2" t="n">
        <v>194</v>
      </c>
      <c r="H104" s="2" t="n">
        <v>105</v>
      </c>
      <c r="I104" s="2" t="n">
        <v>48</v>
      </c>
      <c r="J104" s="2" t="inlineStr">
        <is>
          <t>否</t>
        </is>
      </c>
      <c r="K104" s="2" t="n">
        <v>3.7</v>
      </c>
      <c r="L104" s="2" t="inlineStr">
        <is>
          <t>有效</t>
        </is>
      </c>
      <c r="M104" s="3" t="inlineStr"/>
      <c r="N104" s="2">
        <f>(G104-H104)/G104</f>
        <v/>
      </c>
      <c r="O104" s="2">
        <f>G104-H104</f>
        <v/>
      </c>
    </row>
    <row r="105">
      <c r="A105" s="2" t="n">
        <v>105</v>
      </c>
      <c r="B105" s="2" t="inlineStr">
        <is>
          <t>OD00104</t>
        </is>
      </c>
      <c r="C105" s="2" t="inlineStr">
        <is>
          <t>2026-09-27</t>
        </is>
      </c>
      <c r="D105" s="2" t="inlineStr">
        <is>
          <t>杭州</t>
        </is>
      </c>
      <c r="E105" s="2" t="inlineStr">
        <is>
          <t>企业团购</t>
        </is>
      </c>
      <c r="F105" s="2" t="inlineStr">
        <is>
          <t>咖啡</t>
        </is>
      </c>
      <c r="G105" s="2" t="n">
        <v>105</v>
      </c>
      <c r="H105" s="2" t="n">
        <v>57</v>
      </c>
      <c r="I105" s="2" t="n">
        <v>84</v>
      </c>
      <c r="J105" s="2" t="inlineStr">
        <is>
          <t>否</t>
        </is>
      </c>
      <c r="K105" s="2" t="n">
        <v>4.4</v>
      </c>
      <c r="L105" s="2" t="inlineStr">
        <is>
          <t>有效</t>
        </is>
      </c>
      <c r="M105" s="3" t="inlineStr"/>
      <c r="N105" s="2">
        <f>(G105-H105)/G105</f>
        <v/>
      </c>
      <c r="O105" s="2">
        <f>G105-H105</f>
        <v/>
      </c>
    </row>
    <row r="106">
      <c r="A106" s="2" t="n">
        <v>106</v>
      </c>
      <c r="B106" s="2" t="inlineStr">
        <is>
          <t>OD00105</t>
        </is>
      </c>
      <c r="C106" s="2" t="inlineStr">
        <is>
          <t>2026-10-07</t>
        </is>
      </c>
      <c r="D106" s="2" t="inlineStr">
        <is>
          <t>苏州</t>
        </is>
      </c>
      <c r="E106" s="2" t="inlineStr">
        <is>
          <t>小程序</t>
        </is>
      </c>
      <c r="F106" s="2" t="inlineStr">
        <is>
          <t>轻食</t>
        </is>
      </c>
      <c r="G106" s="2" t="n">
        <v>534</v>
      </c>
      <c r="H106" s="2" t="n">
        <v>351</v>
      </c>
      <c r="I106" s="2" t="n">
        <v>57</v>
      </c>
      <c r="J106" s="2" t="inlineStr">
        <is>
          <t>否</t>
        </is>
      </c>
      <c r="K106" s="2" t="n">
        <v>4.3</v>
      </c>
      <c r="L106" s="2" t="inlineStr">
        <is>
          <t>有效</t>
        </is>
      </c>
      <c r="M106" s="3" t="inlineStr"/>
      <c r="N106" s="2">
        <f>(G106-H106)/G106</f>
        <v/>
      </c>
      <c r="O106" s="2">
        <f>G106-H106</f>
        <v/>
      </c>
    </row>
    <row r="107">
      <c r="A107" s="2" t="n">
        <v>107</v>
      </c>
      <c r="B107" s="2" t="inlineStr">
        <is>
          <t>OD00106</t>
        </is>
      </c>
      <c r="C107" s="2" t="inlineStr">
        <is>
          <t>2026-11-14</t>
        </is>
      </c>
      <c r="D107" s="2" t="inlineStr">
        <is>
          <t>苏州</t>
        </is>
      </c>
      <c r="E107" s="2" t="inlineStr">
        <is>
          <t>外卖平台</t>
        </is>
      </c>
      <c r="F107" s="2" t="inlineStr">
        <is>
          <t>轻食</t>
        </is>
      </c>
      <c r="G107" s="2" t="n">
        <v>226</v>
      </c>
      <c r="H107" s="2" t="n">
        <v>169</v>
      </c>
      <c r="I107" s="2" t="n">
        <v>38</v>
      </c>
      <c r="J107" s="2" t="inlineStr">
        <is>
          <t>否</t>
        </is>
      </c>
      <c r="K107" s="2" t="n">
        <v>3.6</v>
      </c>
      <c r="L107" s="2" t="inlineStr">
        <is>
          <t>有效</t>
        </is>
      </c>
      <c r="M107" s="3" t="inlineStr"/>
      <c r="N107" s="2">
        <f>(G107-H107)/G107</f>
        <v/>
      </c>
      <c r="O107" s="2">
        <f>G107-H107</f>
        <v/>
      </c>
    </row>
    <row r="108">
      <c r="A108" s="2" t="n">
        <v>108</v>
      </c>
      <c r="B108" s="2" t="inlineStr">
        <is>
          <t>OD00107</t>
        </is>
      </c>
      <c r="C108" s="2" t="inlineStr">
        <is>
          <t>2026-12-21</t>
        </is>
      </c>
      <c r="D108" s="2" t="inlineStr">
        <is>
          <t>苏州</t>
        </is>
      </c>
      <c r="E108" s="2" t="inlineStr">
        <is>
          <t>门店</t>
        </is>
      </c>
      <c r="F108" s="2" t="inlineStr">
        <is>
          <t>周边</t>
        </is>
      </c>
      <c r="G108" s="2" t="n">
        <v>103</v>
      </c>
      <c r="H108" s="2" t="n">
        <v>48</v>
      </c>
      <c r="I108" s="2" t="n">
        <v>75</v>
      </c>
      <c r="J108" s="2" t="inlineStr">
        <is>
          <t>否</t>
        </is>
      </c>
      <c r="K108" s="2" t="n">
        <v>4.6</v>
      </c>
      <c r="L108" s="2" t="inlineStr">
        <is>
          <t>有效</t>
        </is>
      </c>
      <c r="M108" s="3" t="inlineStr"/>
      <c r="N108" s="2">
        <f>(G108-H108)/G108</f>
        <v/>
      </c>
      <c r="O108" s="2">
        <f>G108-H108</f>
        <v/>
      </c>
    </row>
    <row r="109">
      <c r="A109" s="2" t="n">
        <v>109</v>
      </c>
      <c r="B109" s="2" t="inlineStr">
        <is>
          <t>OD00108</t>
        </is>
      </c>
      <c r="C109" s="2" t="inlineStr">
        <is>
          <t>2026-01-01</t>
        </is>
      </c>
      <c r="D109" s="2" t="inlineStr">
        <is>
          <t>上海</t>
        </is>
      </c>
      <c r="E109" s="2" t="inlineStr">
        <is>
          <t>外卖平台</t>
        </is>
      </c>
      <c r="F109" s="2" t="inlineStr">
        <is>
          <t>烘焙</t>
        </is>
      </c>
      <c r="G109" s="2" t="n">
        <v>574</v>
      </c>
      <c r="H109" s="2" t="n">
        <v>294</v>
      </c>
      <c r="I109" s="2" t="n">
        <v>52</v>
      </c>
      <c r="J109" s="2" t="inlineStr">
        <is>
          <t>否</t>
        </is>
      </c>
      <c r="K109" s="2" t="n">
        <v>4.6</v>
      </c>
      <c r="L109" s="2" t="inlineStr">
        <is>
          <t>有效</t>
        </is>
      </c>
      <c r="M109" s="3" t="inlineStr"/>
      <c r="N109" s="2">
        <f>(G109-H109)/G109</f>
        <v/>
      </c>
      <c r="O109" s="2">
        <f>G109-H109</f>
        <v/>
      </c>
    </row>
    <row r="110">
      <c r="A110" s="2" t="n">
        <v>110</v>
      </c>
      <c r="B110" s="2" t="inlineStr">
        <is>
          <t>OD00109</t>
        </is>
      </c>
      <c r="C110" s="2" t="inlineStr">
        <is>
          <t>2026-02-08</t>
        </is>
      </c>
      <c r="D110" s="2" t="inlineStr">
        <is>
          <t>苏州</t>
        </is>
      </c>
      <c r="E110" s="2" t="inlineStr">
        <is>
          <t>外卖平台</t>
        </is>
      </c>
      <c r="F110" s="2" t="inlineStr">
        <is>
          <t>烘焙</t>
        </is>
      </c>
      <c r="G110" s="2" t="n">
        <v>573</v>
      </c>
      <c r="H110" s="2" t="n">
        <v>355</v>
      </c>
      <c r="I110" s="2" t="n">
        <v>88</v>
      </c>
      <c r="J110" s="2" t="inlineStr">
        <is>
          <t>是</t>
        </is>
      </c>
      <c r="K110" s="2" t="n">
        <v>4.3</v>
      </c>
      <c r="L110" s="2" t="inlineStr">
        <is>
          <t>有效</t>
        </is>
      </c>
      <c r="M110" s="3" t="inlineStr"/>
      <c r="N110" s="2">
        <f>(G110-H110)/G110</f>
        <v/>
      </c>
      <c r="O110" s="2">
        <f>G110-H110</f>
        <v/>
      </c>
    </row>
    <row r="111">
      <c r="A111" s="2" t="n">
        <v>111</v>
      </c>
      <c r="B111" s="2" t="inlineStr">
        <is>
          <t>OD00110</t>
        </is>
      </c>
      <c r="C111" s="2" t="inlineStr">
        <is>
          <t>2026-03-15</t>
        </is>
      </c>
      <c r="D111" s="2" t="inlineStr">
        <is>
          <t>苏州</t>
        </is>
      </c>
      <c r="E111" s="2" t="inlineStr">
        <is>
          <t>门店</t>
        </is>
      </c>
      <c r="F111" s="2" t="inlineStr">
        <is>
          <t>茶饮</t>
        </is>
      </c>
      <c r="G111" s="2" t="n">
        <v>460</v>
      </c>
      <c r="H111" s="2" t="n">
        <v>247</v>
      </c>
      <c r="I111" s="2" t="n">
        <v>66</v>
      </c>
      <c r="J111" s="2" t="inlineStr">
        <is>
          <t>否</t>
        </is>
      </c>
      <c r="K111" s="2" t="n">
        <v>4.7</v>
      </c>
      <c r="L111" s="2" t="inlineStr">
        <is>
          <t>有效</t>
        </is>
      </c>
      <c r="M111" s="3" t="inlineStr"/>
      <c r="N111" s="2">
        <f>(G111-H111)/G111</f>
        <v/>
      </c>
      <c r="O111" s="2">
        <f>G111-H111</f>
        <v/>
      </c>
    </row>
    <row r="112">
      <c r="A112" s="2" t="n">
        <v>112</v>
      </c>
      <c r="B112" s="2" t="inlineStr">
        <is>
          <t>OD00111</t>
        </is>
      </c>
      <c r="C112" s="2" t="inlineStr">
        <is>
          <t>2026-04-22</t>
        </is>
      </c>
      <c r="D112" s="2" t="inlineStr">
        <is>
          <t>南京</t>
        </is>
      </c>
      <c r="E112" s="2" t="inlineStr">
        <is>
          <t>门店</t>
        </is>
      </c>
      <c r="F112" s="2" t="inlineStr">
        <is>
          <t>轻食</t>
        </is>
      </c>
      <c r="G112" s="2" t="n">
        <v>433</v>
      </c>
      <c r="H112" s="2" t="n">
        <v>243</v>
      </c>
      <c r="I112" s="2" t="n">
        <v>64</v>
      </c>
      <c r="J112" s="2" t="inlineStr">
        <is>
          <t>否</t>
        </is>
      </c>
      <c r="K112" s="2" t="n">
        <v>4.5</v>
      </c>
      <c r="L112" s="2" t="inlineStr">
        <is>
          <t>有效</t>
        </is>
      </c>
      <c r="M112" s="3" t="inlineStr"/>
      <c r="N112" s="2">
        <f>(G112-H112)/G112</f>
        <v/>
      </c>
      <c r="O112" s="2">
        <f>G112-H112</f>
        <v/>
      </c>
    </row>
    <row r="113">
      <c r="A113" s="2" t="n">
        <v>113</v>
      </c>
      <c r="B113" s="2" t="inlineStr">
        <is>
          <t>OD00112</t>
        </is>
      </c>
      <c r="C113" s="2" t="inlineStr">
        <is>
          <t>2026-05-02</t>
        </is>
      </c>
      <c r="D113" s="2" t="inlineStr">
        <is>
          <t>南京</t>
        </is>
      </c>
      <c r="E113" s="2" t="inlineStr">
        <is>
          <t>外卖平台</t>
        </is>
      </c>
      <c r="F113" s="2" t="inlineStr">
        <is>
          <t>周边</t>
        </is>
      </c>
      <c r="G113" s="2" t="n">
        <v>396</v>
      </c>
      <c r="H113" s="2" t="n">
        <v>270</v>
      </c>
      <c r="I113" s="2" t="n">
        <v>20</v>
      </c>
      <c r="J113" s="2" t="inlineStr">
        <is>
          <t>否</t>
        </is>
      </c>
      <c r="K113" s="2" t="n">
        <v>4.6</v>
      </c>
      <c r="L113" s="2" t="inlineStr">
        <is>
          <t>有效</t>
        </is>
      </c>
      <c r="M113" s="3" t="inlineStr"/>
      <c r="N113" s="2">
        <f>(G113-H113)/G113</f>
        <v/>
      </c>
      <c r="O113" s="2">
        <f>G113-H113</f>
        <v/>
      </c>
    </row>
    <row r="114">
      <c r="A114" s="2" t="n">
        <v>114</v>
      </c>
      <c r="B114" s="2" t="inlineStr">
        <is>
          <t>OD00113</t>
        </is>
      </c>
      <c r="C114" s="2" t="inlineStr">
        <is>
          <t>2026-06-09</t>
        </is>
      </c>
      <c r="D114" s="2" t="inlineStr">
        <is>
          <t>杭州</t>
        </is>
      </c>
      <c r="E114" s="2" t="inlineStr">
        <is>
          <t>小程序</t>
        </is>
      </c>
      <c r="F114" s="2" t="inlineStr">
        <is>
          <t>咖啡</t>
        </is>
      </c>
      <c r="G114" s="2" t="n">
        <v>112</v>
      </c>
      <c r="H114" s="2" t="n">
        <v>78</v>
      </c>
      <c r="I114" s="2" t="n">
        <v>52</v>
      </c>
      <c r="J114" s="2" t="inlineStr">
        <is>
          <t>否</t>
        </is>
      </c>
      <c r="K114" s="2" t="n">
        <v>4.5</v>
      </c>
      <c r="L114" s="2" t="inlineStr">
        <is>
          <t>有效</t>
        </is>
      </c>
      <c r="M114" s="3" t="inlineStr"/>
      <c r="N114" s="2">
        <f>(G114-H114)/G114</f>
        <v/>
      </c>
      <c r="O114" s="2">
        <f>G114-H114</f>
        <v/>
      </c>
    </row>
    <row r="115">
      <c r="A115" s="2" t="n">
        <v>115</v>
      </c>
      <c r="B115" s="2" t="inlineStr">
        <is>
          <t>OD00114</t>
        </is>
      </c>
      <c r="C115" s="2" t="inlineStr">
        <is>
          <t>2026-07-16</t>
        </is>
      </c>
      <c r="D115" s="2" t="inlineStr">
        <is>
          <t>上海</t>
        </is>
      </c>
      <c r="E115" s="2" t="inlineStr">
        <is>
          <t>小程序</t>
        </is>
      </c>
      <c r="F115" s="2" t="inlineStr">
        <is>
          <t>周边</t>
        </is>
      </c>
      <c r="G115" s="2" t="n">
        <v>631</v>
      </c>
      <c r="H115" s="2" t="n">
        <v>444</v>
      </c>
      <c r="I115" s="2" t="n">
        <v>88</v>
      </c>
      <c r="J115" s="2" t="inlineStr">
        <is>
          <t>否</t>
        </is>
      </c>
      <c r="K115" s="2" t="n">
        <v>4.8</v>
      </c>
      <c r="L115" s="2" t="inlineStr">
        <is>
          <t>有效</t>
        </is>
      </c>
      <c r="M115" s="3" t="inlineStr"/>
      <c r="N115" s="2">
        <f>(G115-H115)/G115</f>
        <v/>
      </c>
      <c r="O115" s="2">
        <f>G115-H115</f>
        <v/>
      </c>
    </row>
    <row r="116">
      <c r="A116" s="2" t="n">
        <v>116</v>
      </c>
      <c r="B116" s="2" t="inlineStr">
        <is>
          <t>OD00115</t>
        </is>
      </c>
      <c r="C116" s="2" t="inlineStr">
        <is>
          <t>2026-08-23</t>
        </is>
      </c>
      <c r="D116" s="2" t="inlineStr">
        <is>
          <t>宁波</t>
        </is>
      </c>
      <c r="E116" s="2" t="inlineStr">
        <is>
          <t>企业团购</t>
        </is>
      </c>
      <c r="F116" s="2" t="inlineStr">
        <is>
          <t>咖啡</t>
        </is>
      </c>
      <c r="G116" s="2" t="n">
        <v>169</v>
      </c>
      <c r="H116" s="2" t="n">
        <v>101</v>
      </c>
      <c r="I116" s="2" t="n">
        <v>40</v>
      </c>
      <c r="J116" s="2" t="inlineStr">
        <is>
          <t>否</t>
        </is>
      </c>
      <c r="K116" s="2" t="n">
        <v>4</v>
      </c>
      <c r="L116" s="2" t="inlineStr">
        <is>
          <t>有效</t>
        </is>
      </c>
      <c r="M116" s="3" t="inlineStr"/>
      <c r="N116" s="2">
        <f>(G116-H116)/G116</f>
        <v/>
      </c>
      <c r="O116" s="2">
        <f>G116-H116</f>
        <v/>
      </c>
    </row>
    <row r="117">
      <c r="A117" s="2" t="n">
        <v>117</v>
      </c>
      <c r="B117" s="2" t="inlineStr">
        <is>
          <t>OD00116</t>
        </is>
      </c>
      <c r="C117" s="2" t="inlineStr">
        <is>
          <t>2026-09-03</t>
        </is>
      </c>
      <c r="D117" s="2" t="inlineStr">
        <is>
          <t>南京</t>
        </is>
      </c>
      <c r="E117" s="2" t="inlineStr">
        <is>
          <t>门店</t>
        </is>
      </c>
      <c r="F117" s="2" t="inlineStr">
        <is>
          <t>咖啡</t>
        </is>
      </c>
      <c r="G117" s="2" t="n">
        <v>249</v>
      </c>
      <c r="H117" s="2" t="n">
        <v>179</v>
      </c>
      <c r="I117" s="2" t="n">
        <v>57</v>
      </c>
      <c r="J117" s="2" t="inlineStr">
        <is>
          <t>否</t>
        </is>
      </c>
      <c r="K117" s="2" t="n">
        <v>3.8</v>
      </c>
      <c r="L117" s="2" t="inlineStr">
        <is>
          <t>有效</t>
        </is>
      </c>
      <c r="M117" s="3" t="inlineStr"/>
      <c r="N117" s="2">
        <f>(G117-H117)/G117</f>
        <v/>
      </c>
      <c r="O117" s="2">
        <f>G117-H117</f>
        <v/>
      </c>
    </row>
    <row r="118">
      <c r="A118" s="2" t="n">
        <v>118</v>
      </c>
      <c r="B118" s="2" t="inlineStr">
        <is>
          <t>OD00117</t>
        </is>
      </c>
      <c r="C118" s="2" t="inlineStr">
        <is>
          <t>2026-10-10</t>
        </is>
      </c>
      <c r="D118" s="2" t="inlineStr">
        <is>
          <t>宁波</t>
        </is>
      </c>
      <c r="E118" s="2" t="inlineStr">
        <is>
          <t>小程序</t>
        </is>
      </c>
      <c r="F118" s="2" t="inlineStr">
        <is>
          <t>烘焙</t>
        </is>
      </c>
      <c r="G118" s="2" t="n">
        <v>546</v>
      </c>
      <c r="H118" s="2" t="n">
        <v>282</v>
      </c>
      <c r="I118" s="2" t="n">
        <v>43</v>
      </c>
      <c r="J118" s="2" t="inlineStr">
        <is>
          <t>否</t>
        </is>
      </c>
      <c r="K118" s="2" t="n">
        <v>4.5</v>
      </c>
      <c r="L118" s="2" t="inlineStr">
        <is>
          <t>有效</t>
        </is>
      </c>
      <c r="M118" s="3" t="inlineStr"/>
      <c r="N118" s="2">
        <f>(G118-H118)/G118</f>
        <v/>
      </c>
      <c r="O118" s="2">
        <f>G118-H118</f>
        <v/>
      </c>
    </row>
    <row r="119">
      <c r="A119" s="2" t="n">
        <v>119</v>
      </c>
      <c r="B119" s="2" t="inlineStr">
        <is>
          <t>OD00118</t>
        </is>
      </c>
      <c r="C119" s="2" t="inlineStr">
        <is>
          <t>2026-11-17</t>
        </is>
      </c>
      <c r="D119" s="2" t="inlineStr">
        <is>
          <t>杭州</t>
        </is>
      </c>
      <c r="E119" s="2" t="inlineStr">
        <is>
          <t>企业团购</t>
        </is>
      </c>
      <c r="F119" s="2" t="inlineStr">
        <is>
          <t>烘焙</t>
        </is>
      </c>
      <c r="G119" s="2" t="n">
        <v>547</v>
      </c>
      <c r="H119" s="2" t="n">
        <v>329</v>
      </c>
      <c r="I119" s="2" t="n">
        <v>60</v>
      </c>
      <c r="J119" s="2" t="inlineStr">
        <is>
          <t>否</t>
        </is>
      </c>
      <c r="K119" s="2" t="n">
        <v>4.2</v>
      </c>
      <c r="L119" s="2" t="inlineStr">
        <is>
          <t>有效</t>
        </is>
      </c>
      <c r="M119" s="3" t="inlineStr"/>
      <c r="N119" s="2">
        <f>(G119-H119)/G119</f>
        <v/>
      </c>
      <c r="O119" s="2">
        <f>G119-H119</f>
        <v/>
      </c>
    </row>
    <row r="120">
      <c r="A120" s="2" t="n">
        <v>120</v>
      </c>
      <c r="B120" s="2" t="inlineStr">
        <is>
          <t>OD00119</t>
        </is>
      </c>
      <c r="C120" s="2" t="inlineStr">
        <is>
          <t>2026-12-24</t>
        </is>
      </c>
      <c r="D120" s="2" t="inlineStr">
        <is>
          <t>上海</t>
        </is>
      </c>
      <c r="E120" s="2" t="inlineStr">
        <is>
          <t>小程序</t>
        </is>
      </c>
      <c r="F120" s="2" t="inlineStr">
        <is>
          <t>轻食</t>
        </is>
      </c>
      <c r="G120" s="2" t="n">
        <v>155</v>
      </c>
      <c r="H120" s="2" t="n">
        <v>79</v>
      </c>
      <c r="I120" s="2" t="n">
        <v>65</v>
      </c>
      <c r="J120" s="2" t="inlineStr">
        <is>
          <t>否</t>
        </is>
      </c>
      <c r="K120" s="2" t="n">
        <v>4.4</v>
      </c>
      <c r="L120" s="2" t="inlineStr">
        <is>
          <t>有效</t>
        </is>
      </c>
      <c r="M120" s="3" t="inlineStr"/>
      <c r="N120" s="2">
        <f>(G120-H120)/G120</f>
        <v/>
      </c>
      <c r="O120" s="2">
        <f>G120-H120</f>
        <v/>
      </c>
    </row>
    <row r="121">
      <c r="A121" s="2" t="n">
        <v>121</v>
      </c>
      <c r="B121" s="2" t="inlineStr">
        <is>
          <t>OD00120</t>
        </is>
      </c>
      <c r="C121" s="2" t="inlineStr">
        <is>
          <t>2026-01-04</t>
        </is>
      </c>
      <c r="D121" s="2" t="inlineStr">
        <is>
          <t>苏州</t>
        </is>
      </c>
      <c r="E121" s="2" t="inlineStr">
        <is>
          <t>企业团购</t>
        </is>
      </c>
      <c r="F121" s="2" t="inlineStr">
        <is>
          <t>周边</t>
        </is>
      </c>
      <c r="G121" s="2" t="n">
        <v>612</v>
      </c>
      <c r="H121" s="2" t="n">
        <v>383</v>
      </c>
      <c r="I121" s="2" t="n">
        <v>13</v>
      </c>
      <c r="J121" s="2" t="inlineStr">
        <is>
          <t>否</t>
        </is>
      </c>
      <c r="K121" s="2" t="n">
        <v>3.6</v>
      </c>
      <c r="L121" s="2" t="inlineStr">
        <is>
          <t>有效</t>
        </is>
      </c>
      <c r="M121" s="3" t="inlineStr"/>
      <c r="N121" s="2">
        <f>(G121-H121)/G121</f>
        <v/>
      </c>
      <c r="O121" s="2">
        <f>G121-H121</f>
        <v/>
      </c>
    </row>
    <row r="122">
      <c r="A122" s="2" t="n">
        <v>122</v>
      </c>
      <c r="B122" s="2" t="inlineStr">
        <is>
          <t>OD00121</t>
        </is>
      </c>
      <c r="C122" s="2" t="inlineStr">
        <is>
          <t>2026-02-11</t>
        </is>
      </c>
      <c r="D122" s="2" t="inlineStr">
        <is>
          <t>合肥</t>
        </is>
      </c>
      <c r="E122" s="2" t="inlineStr">
        <is>
          <t>企业团购</t>
        </is>
      </c>
      <c r="F122" s="2" t="inlineStr">
        <is>
          <t>烘焙</t>
        </is>
      </c>
      <c r="G122" s="2" t="n">
        <v>177</v>
      </c>
      <c r="H122" s="2" t="n">
        <v>97</v>
      </c>
      <c r="I122" s="2" t="n">
        <v>21</v>
      </c>
      <c r="J122" s="2" t="inlineStr">
        <is>
          <t>否</t>
        </is>
      </c>
      <c r="K122" s="2" t="n">
        <v>4.5</v>
      </c>
      <c r="L122" s="2" t="inlineStr">
        <is>
          <t>有效</t>
        </is>
      </c>
      <c r="M122" s="3" t="inlineStr"/>
      <c r="N122" s="2">
        <f>(G122-H122)/G122</f>
        <v/>
      </c>
      <c r="O122" s="2">
        <f>G122-H122</f>
        <v/>
      </c>
    </row>
    <row r="123">
      <c r="A123" s="2" t="n">
        <v>123</v>
      </c>
      <c r="B123" s="2" t="inlineStr">
        <is>
          <t>OD00122</t>
        </is>
      </c>
      <c r="C123" s="2" t="inlineStr">
        <is>
          <t>2026-03-18</t>
        </is>
      </c>
      <c r="D123" s="2" t="inlineStr">
        <is>
          <t>宁波</t>
        </is>
      </c>
      <c r="E123" s="2" t="inlineStr">
        <is>
          <t>小程序</t>
        </is>
      </c>
      <c r="F123" s="2" t="inlineStr">
        <is>
          <t>轻食</t>
        </is>
      </c>
      <c r="G123" s="2" t="n">
        <v>353</v>
      </c>
      <c r="H123" s="2" t="n">
        <v>171</v>
      </c>
      <c r="I123" s="2" t="n">
        <v>52</v>
      </c>
      <c r="J123" s="2" t="inlineStr">
        <is>
          <t>否</t>
        </is>
      </c>
      <c r="K123" s="2" t="n">
        <v>5</v>
      </c>
      <c r="L123" s="2" t="inlineStr">
        <is>
          <t>有效</t>
        </is>
      </c>
      <c r="M123" s="3" t="inlineStr"/>
      <c r="N123" s="2">
        <f>(G123-H123)/G123</f>
        <v/>
      </c>
      <c r="O123" s="2">
        <f>G123-H123</f>
        <v/>
      </c>
    </row>
    <row r="124">
      <c r="A124" s="2" t="n">
        <v>124</v>
      </c>
      <c r="B124" s="2" t="inlineStr">
        <is>
          <t>OD00123</t>
        </is>
      </c>
      <c r="C124" s="2" t="inlineStr">
        <is>
          <t>2026-04-25</t>
        </is>
      </c>
      <c r="D124" s="2" t="inlineStr">
        <is>
          <t>杭州</t>
        </is>
      </c>
      <c r="E124" s="2" t="inlineStr">
        <is>
          <t>企业团购</t>
        </is>
      </c>
      <c r="F124" s="2" t="inlineStr">
        <is>
          <t>咖啡</t>
        </is>
      </c>
      <c r="G124" s="2" t="n">
        <v>504</v>
      </c>
      <c r="H124" s="2" t="n">
        <v>235</v>
      </c>
      <c r="I124" s="2" t="n">
        <v>43</v>
      </c>
      <c r="J124" s="2" t="inlineStr">
        <is>
          <t>否</t>
        </is>
      </c>
      <c r="K124" s="2" t="n">
        <v>3.3</v>
      </c>
      <c r="L124" s="2" t="inlineStr">
        <is>
          <t>有效</t>
        </is>
      </c>
      <c r="M124" s="3" t="inlineStr"/>
      <c r="N124" s="2">
        <f>(G124-H124)/G124</f>
        <v/>
      </c>
      <c r="O124" s="2">
        <f>G124-H124</f>
        <v/>
      </c>
    </row>
    <row r="125">
      <c r="A125" s="2" t="n">
        <v>125</v>
      </c>
      <c r="B125" s="2" t="inlineStr">
        <is>
          <t>OD00124</t>
        </is>
      </c>
      <c r="C125" s="2" t="inlineStr">
        <is>
          <t>2026-05-05</t>
        </is>
      </c>
      <c r="D125" s="2" t="inlineStr">
        <is>
          <t>上海</t>
        </is>
      </c>
      <c r="E125" s="2" t="inlineStr">
        <is>
          <t>外卖平台</t>
        </is>
      </c>
      <c r="F125" s="2" t="inlineStr">
        <is>
          <t>咖啡</t>
        </is>
      </c>
      <c r="G125" s="2" t="n">
        <v>413</v>
      </c>
      <c r="H125" s="2" t="n">
        <v>259</v>
      </c>
      <c r="I125" s="2" t="n">
        <v>46</v>
      </c>
      <c r="J125" s="2" t="inlineStr">
        <is>
          <t>否</t>
        </is>
      </c>
      <c r="K125" s="2" t="n">
        <v>4.6</v>
      </c>
      <c r="L125" s="2" t="inlineStr">
        <is>
          <t>有效</t>
        </is>
      </c>
      <c r="M125" s="3" t="inlineStr"/>
      <c r="N125" s="2">
        <f>(G125-H125)/G125</f>
        <v/>
      </c>
      <c r="O125" s="2">
        <f>G125-H125</f>
        <v/>
      </c>
    </row>
    <row r="126">
      <c r="A126" s="2" t="n">
        <v>126</v>
      </c>
      <c r="B126" s="2" t="inlineStr">
        <is>
          <t>OD00125</t>
        </is>
      </c>
      <c r="C126" s="2" t="inlineStr">
        <is>
          <t>2026-06-12</t>
        </is>
      </c>
      <c r="D126" s="2" t="inlineStr">
        <is>
          <t>南京</t>
        </is>
      </c>
      <c r="E126" s="2" t="inlineStr">
        <is>
          <t>小程序</t>
        </is>
      </c>
      <c r="F126" s="2" t="inlineStr">
        <is>
          <t>咖啡</t>
        </is>
      </c>
      <c r="G126" s="2" t="n">
        <v>457</v>
      </c>
      <c r="H126" s="2" t="n">
        <v>215</v>
      </c>
      <c r="I126" s="2" t="n">
        <v>41</v>
      </c>
      <c r="J126" s="2" t="inlineStr">
        <is>
          <t>否</t>
        </is>
      </c>
      <c r="K126" s="2" t="n">
        <v>3.2</v>
      </c>
      <c r="L126" s="2" t="inlineStr">
        <is>
          <t>有效</t>
        </is>
      </c>
      <c r="M126" s="3" t="inlineStr"/>
      <c r="N126" s="2">
        <f>(G126-H126)/G126</f>
        <v/>
      </c>
      <c r="O126" s="2">
        <f>G126-H126</f>
        <v/>
      </c>
    </row>
    <row r="127">
      <c r="A127" s="2" t="n">
        <v>127</v>
      </c>
      <c r="B127" s="2" t="inlineStr">
        <is>
          <t>OD00126</t>
        </is>
      </c>
      <c r="C127" s="2" t="inlineStr">
        <is>
          <t>2026-07-19</t>
        </is>
      </c>
      <c r="D127" s="2" t="inlineStr">
        <is>
          <t>南京</t>
        </is>
      </c>
      <c r="E127" s="2" t="inlineStr">
        <is>
          <t>小程序</t>
        </is>
      </c>
      <c r="F127" s="2" t="inlineStr">
        <is>
          <t>咖啡</t>
        </is>
      </c>
      <c r="G127" s="2" t="n">
        <v>134</v>
      </c>
      <c r="H127" s="2" t="n">
        <v>87</v>
      </c>
      <c r="I127" s="2" t="n">
        <v>38</v>
      </c>
      <c r="J127" s="2" t="inlineStr">
        <is>
          <t>否</t>
        </is>
      </c>
      <c r="K127" s="2" t="n">
        <v>3.6</v>
      </c>
      <c r="L127" s="2" t="inlineStr">
        <is>
          <t>有效</t>
        </is>
      </c>
      <c r="M127" s="3" t="inlineStr"/>
      <c r="N127" s="2">
        <f>(G127-H127)/G127</f>
        <v/>
      </c>
      <c r="O127" s="2">
        <f>G127-H127</f>
        <v/>
      </c>
    </row>
    <row r="128">
      <c r="A128" s="2" t="n">
        <v>128</v>
      </c>
      <c r="B128" s="2" t="inlineStr">
        <is>
          <t>OD00127</t>
        </is>
      </c>
      <c r="C128" s="2" t="inlineStr">
        <is>
          <t>2026-08-26</t>
        </is>
      </c>
      <c r="D128" s="2" t="inlineStr">
        <is>
          <t>宁波</t>
        </is>
      </c>
      <c r="E128" s="2" t="inlineStr">
        <is>
          <t>企业团购</t>
        </is>
      </c>
      <c r="F128" s="2" t="inlineStr">
        <is>
          <t>咖啡</t>
        </is>
      </c>
      <c r="G128" s="2" t="n">
        <v>43</v>
      </c>
      <c r="H128" s="2" t="n">
        <v>29</v>
      </c>
      <c r="I128" s="2" t="n">
        <v>93</v>
      </c>
      <c r="J128" s="2" t="inlineStr">
        <is>
          <t>否</t>
        </is>
      </c>
      <c r="K128" s="2" t="n">
        <v>4.7</v>
      </c>
      <c r="L128" s="2" t="inlineStr">
        <is>
          <t>有效</t>
        </is>
      </c>
      <c r="M128" s="3" t="inlineStr"/>
      <c r="N128" s="2">
        <f>(G128-H128)/G128</f>
        <v/>
      </c>
      <c r="O128" s="2">
        <f>G128-H128</f>
        <v/>
      </c>
    </row>
    <row r="129">
      <c r="A129" s="2" t="n">
        <v>129</v>
      </c>
      <c r="B129" s="2" t="inlineStr">
        <is>
          <t>OD00128</t>
        </is>
      </c>
      <c r="C129" s="2" t="inlineStr">
        <is>
          <t>2026-09-06</t>
        </is>
      </c>
      <c r="D129" s="2" t="inlineStr">
        <is>
          <t>杭州</t>
        </is>
      </c>
      <c r="E129" s="2" t="inlineStr">
        <is>
          <t>企业团购</t>
        </is>
      </c>
      <c r="F129" s="2" t="inlineStr">
        <is>
          <t>茶饮</t>
        </is>
      </c>
      <c r="G129" s="2" t="n">
        <v>449</v>
      </c>
      <c r="H129" s="2" t="n">
        <v>291</v>
      </c>
      <c r="I129" s="2" t="n">
        <v>79</v>
      </c>
      <c r="J129" s="2" t="inlineStr">
        <is>
          <t>否</t>
        </is>
      </c>
      <c r="K129" s="2" t="n">
        <v>4.8</v>
      </c>
      <c r="L129" s="2" t="inlineStr">
        <is>
          <t>有效</t>
        </is>
      </c>
      <c r="M129" s="3" t="inlineStr"/>
      <c r="N129" s="2">
        <f>(G129-H129)/G129</f>
        <v/>
      </c>
      <c r="O129" s="2">
        <f>G129-H129</f>
        <v/>
      </c>
    </row>
    <row r="130">
      <c r="A130" s="2" t="n">
        <v>130</v>
      </c>
      <c r="B130" s="2" t="inlineStr">
        <is>
          <t>OD00129</t>
        </is>
      </c>
      <c r="C130" s="2" t="inlineStr">
        <is>
          <t>2026-10-13</t>
        </is>
      </c>
      <c r="D130" s="2" t="inlineStr">
        <is>
          <t>南京</t>
        </is>
      </c>
      <c r="E130" s="2" t="inlineStr">
        <is>
          <t>门店</t>
        </is>
      </c>
      <c r="F130" s="2" t="inlineStr">
        <is>
          <t>咖啡</t>
        </is>
      </c>
      <c r="G130" s="2" t="n">
        <v>326</v>
      </c>
      <c r="H130" s="2" t="n">
        <v>226</v>
      </c>
      <c r="I130" s="2" t="n">
        <v>34</v>
      </c>
      <c r="J130" s="2" t="inlineStr">
        <is>
          <t>否</t>
        </is>
      </c>
      <c r="K130" s="2" t="n">
        <v>4.8</v>
      </c>
      <c r="L130" s="2" t="inlineStr">
        <is>
          <t>有效</t>
        </is>
      </c>
      <c r="M130" s="3" t="inlineStr"/>
      <c r="N130" s="2">
        <f>(G130-H130)/G130</f>
        <v/>
      </c>
      <c r="O130" s="2">
        <f>G130-H130</f>
        <v/>
      </c>
    </row>
    <row r="131">
      <c r="A131" s="2" t="n">
        <v>131</v>
      </c>
      <c r="B131" s="2" t="inlineStr">
        <is>
          <t>OD00130</t>
        </is>
      </c>
      <c r="C131" s="2" t="inlineStr">
        <is>
          <t>2026-11-20</t>
        </is>
      </c>
      <c r="D131" s="2" t="inlineStr">
        <is>
          <t>南京</t>
        </is>
      </c>
      <c r="E131" s="2" t="inlineStr">
        <is>
          <t>企业团购</t>
        </is>
      </c>
      <c r="F131" s="2" t="inlineStr">
        <is>
          <t>轻食</t>
        </is>
      </c>
      <c r="G131" s="2" t="n">
        <v>279</v>
      </c>
      <c r="H131" s="2" t="n">
        <v>181</v>
      </c>
      <c r="I131" s="2" t="n">
        <v>58</v>
      </c>
      <c r="J131" s="2" t="inlineStr">
        <is>
          <t>否</t>
        </is>
      </c>
      <c r="K131" s="2" t="n">
        <v>3.7</v>
      </c>
      <c r="L131" s="2" t="inlineStr">
        <is>
          <t>有效</t>
        </is>
      </c>
      <c r="M131" s="3" t="inlineStr"/>
      <c r="N131" s="2">
        <f>(G131-H131)/G131</f>
        <v/>
      </c>
      <c r="O131" s="2">
        <f>G131-H131</f>
        <v/>
      </c>
    </row>
    <row r="132">
      <c r="A132" s="2" t="n">
        <v>132</v>
      </c>
      <c r="B132" s="2" t="inlineStr">
        <is>
          <t>OD00131</t>
        </is>
      </c>
      <c r="C132" s="2" t="inlineStr">
        <is>
          <t>2026-12-27</t>
        </is>
      </c>
      <c r="D132" s="2" t="inlineStr">
        <is>
          <t>杭州</t>
        </is>
      </c>
      <c r="E132" s="2" t="inlineStr">
        <is>
          <t>企业团购</t>
        </is>
      </c>
      <c r="F132" s="2" t="inlineStr">
        <is>
          <t>咖啡</t>
        </is>
      </c>
      <c r="G132" s="2" t="n">
        <v>213</v>
      </c>
      <c r="H132" s="2" t="n">
        <v>152</v>
      </c>
      <c r="I132" s="2" t="n">
        <v>15</v>
      </c>
      <c r="J132" s="2" t="inlineStr">
        <is>
          <t>否</t>
        </is>
      </c>
      <c r="K132" s="2" t="n">
        <v>3.3</v>
      </c>
      <c r="L132" s="2" t="inlineStr">
        <is>
          <t>有效</t>
        </is>
      </c>
      <c r="M132" s="3" t="inlineStr"/>
      <c r="N132" s="2">
        <f>(G132-H132)/G132</f>
        <v/>
      </c>
      <c r="O132" s="2">
        <f>G132-H132</f>
        <v/>
      </c>
    </row>
    <row r="133">
      <c r="A133" s="2" t="n">
        <v>133</v>
      </c>
      <c r="B133" s="2" t="inlineStr">
        <is>
          <t>OD00132</t>
        </is>
      </c>
      <c r="C133" s="2" t="inlineStr">
        <is>
          <t>2026-01-07</t>
        </is>
      </c>
      <c r="D133" s="2" t="inlineStr">
        <is>
          <t>南京</t>
        </is>
      </c>
      <c r="E133" s="2" t="inlineStr">
        <is>
          <t>企业团购</t>
        </is>
      </c>
      <c r="F133" s="2" t="inlineStr">
        <is>
          <t>周边</t>
        </is>
      </c>
      <c r="G133" s="2" t="n">
        <v>350</v>
      </c>
      <c r="H133" s="2" t="n">
        <v>225</v>
      </c>
      <c r="I133" s="2" t="n">
        <v>75</v>
      </c>
      <c r="J133" s="2" t="inlineStr">
        <is>
          <t>否</t>
        </is>
      </c>
      <c r="K133" s="2" t="n">
        <v>3.9</v>
      </c>
      <c r="L133" s="2" t="inlineStr">
        <is>
          <t>有效</t>
        </is>
      </c>
      <c r="M133" s="3" t="inlineStr"/>
      <c r="N133" s="2">
        <f>(G133-H133)/G133</f>
        <v/>
      </c>
      <c r="O133" s="2">
        <f>G133-H133</f>
        <v/>
      </c>
    </row>
    <row r="134">
      <c r="A134" s="2" t="n">
        <v>134</v>
      </c>
      <c r="B134" s="2" t="inlineStr">
        <is>
          <t>OD00133</t>
        </is>
      </c>
      <c r="C134" s="2" t="inlineStr">
        <is>
          <t>2026-02-14</t>
        </is>
      </c>
      <c r="D134" s="2" t="inlineStr">
        <is>
          <t>杭州</t>
        </is>
      </c>
      <c r="E134" s="2" t="inlineStr">
        <is>
          <t>企业团购</t>
        </is>
      </c>
      <c r="F134" s="2" t="inlineStr">
        <is>
          <t>周边</t>
        </is>
      </c>
      <c r="G134" s="2" t="n">
        <v>585</v>
      </c>
      <c r="H134" s="2" t="n">
        <v>390</v>
      </c>
      <c r="I134" s="2" t="n">
        <v>12</v>
      </c>
      <c r="J134" s="2" t="inlineStr">
        <is>
          <t>否</t>
        </is>
      </c>
      <c r="K134" s="2" t="n">
        <v>4.1</v>
      </c>
      <c r="L134" s="2" t="inlineStr">
        <is>
          <t>有效</t>
        </is>
      </c>
      <c r="M134" s="3" t="inlineStr"/>
      <c r="N134" s="2">
        <f>(G134-H134)/G134</f>
        <v/>
      </c>
      <c r="O134" s="2">
        <f>G134-H134</f>
        <v/>
      </c>
    </row>
    <row r="135">
      <c r="A135" s="2" t="n">
        <v>135</v>
      </c>
      <c r="B135" s="2" t="inlineStr">
        <is>
          <t>OD00134</t>
        </is>
      </c>
      <c r="C135" s="2" t="inlineStr">
        <is>
          <t>2026-03-21</t>
        </is>
      </c>
      <c r="D135" s="2" t="inlineStr">
        <is>
          <t>宁波</t>
        </is>
      </c>
      <c r="E135" s="2" t="inlineStr">
        <is>
          <t>小程序</t>
        </is>
      </c>
      <c r="F135" s="2" t="inlineStr">
        <is>
          <t>烘焙</t>
        </is>
      </c>
      <c r="G135" s="2" t="n">
        <v>534</v>
      </c>
      <c r="H135" s="2" t="n">
        <v>390</v>
      </c>
      <c r="I135" s="2" t="n">
        <v>37</v>
      </c>
      <c r="J135" s="2" t="inlineStr">
        <is>
          <t>否</t>
        </is>
      </c>
      <c r="K135" s="2" t="n">
        <v>3.3</v>
      </c>
      <c r="L135" s="2" t="inlineStr">
        <is>
          <t>有效</t>
        </is>
      </c>
      <c r="M135" s="3" t="inlineStr"/>
      <c r="N135" s="2">
        <f>(G135-H135)/G135</f>
        <v/>
      </c>
      <c r="O135" s="2">
        <f>G135-H135</f>
        <v/>
      </c>
    </row>
    <row r="136">
      <c r="A136" s="2" t="n">
        <v>136</v>
      </c>
      <c r="B136" s="2" t="inlineStr">
        <is>
          <t>OD00135</t>
        </is>
      </c>
      <c r="C136" s="2" t="inlineStr">
        <is>
          <t>2026-04-01</t>
        </is>
      </c>
      <c r="D136" s="2" t="inlineStr">
        <is>
          <t>南京</t>
        </is>
      </c>
      <c r="E136" s="2" t="inlineStr">
        <is>
          <t>小程序</t>
        </is>
      </c>
      <c r="F136" s="2" t="inlineStr">
        <is>
          <t>咖啡</t>
        </is>
      </c>
      <c r="G136" s="2" t="n">
        <v>325</v>
      </c>
      <c r="H136" s="2" t="n">
        <v>227</v>
      </c>
      <c r="I136" s="2" t="n">
        <v>33</v>
      </c>
      <c r="J136" s="2" t="inlineStr">
        <is>
          <t>否</t>
        </is>
      </c>
      <c r="K136" s="2" t="n">
        <v>5</v>
      </c>
      <c r="L136" s="2" t="inlineStr">
        <is>
          <t>有效</t>
        </is>
      </c>
      <c r="M136" s="3" t="inlineStr"/>
      <c r="N136" s="2">
        <f>(G136-H136)/G136</f>
        <v/>
      </c>
      <c r="O136" s="2">
        <f>G136-H136</f>
        <v/>
      </c>
    </row>
    <row r="137">
      <c r="A137" s="2" t="n">
        <v>137</v>
      </c>
      <c r="B137" s="2" t="inlineStr">
        <is>
          <t>OD00136</t>
        </is>
      </c>
      <c r="C137" s="2" t="inlineStr">
        <is>
          <t>2026-05-08</t>
        </is>
      </c>
      <c r="D137" s="2" t="inlineStr">
        <is>
          <t>杭州</t>
        </is>
      </c>
      <c r="E137" s="2" t="inlineStr">
        <is>
          <t>外卖平台</t>
        </is>
      </c>
      <c r="F137" s="2" t="inlineStr">
        <is>
          <t>茶饮</t>
        </is>
      </c>
      <c r="G137" s="2" t="n">
        <v>49</v>
      </c>
      <c r="H137" s="2" t="n">
        <v>35</v>
      </c>
      <c r="I137" s="2" t="n">
        <v>92</v>
      </c>
      <c r="J137" s="2" t="inlineStr">
        <is>
          <t>否</t>
        </is>
      </c>
      <c r="K137" s="2" t="n">
        <v>3.2</v>
      </c>
      <c r="L137" s="2" t="inlineStr">
        <is>
          <t>有效</t>
        </is>
      </c>
      <c r="M137" s="3" t="inlineStr"/>
      <c r="N137" s="2">
        <f>(G137-H137)/G137</f>
        <v/>
      </c>
      <c r="O137" s="2">
        <f>G137-H137</f>
        <v/>
      </c>
    </row>
    <row r="138">
      <c r="A138" s="2" t="n">
        <v>138</v>
      </c>
      <c r="B138" s="2" t="inlineStr">
        <is>
          <t>OD00137</t>
        </is>
      </c>
      <c r="C138" s="2" t="inlineStr">
        <is>
          <t>2026-06-15</t>
        </is>
      </c>
      <c r="D138" s="2" t="inlineStr">
        <is>
          <t>上海</t>
        </is>
      </c>
      <c r="E138" s="2" t="inlineStr">
        <is>
          <t>外卖平台</t>
        </is>
      </c>
      <c r="F138" s="2" t="inlineStr">
        <is>
          <t>烘焙</t>
        </is>
      </c>
      <c r="G138" s="2" t="n">
        <v>603</v>
      </c>
      <c r="H138" s="2" t="n">
        <v>403</v>
      </c>
      <c r="I138" s="2" t="n">
        <v>76</v>
      </c>
      <c r="J138" s="2" t="inlineStr">
        <is>
          <t>否</t>
        </is>
      </c>
      <c r="K138" s="2" t="n">
        <v>4.2</v>
      </c>
      <c r="L138" s="2" t="inlineStr">
        <is>
          <t>有效</t>
        </is>
      </c>
      <c r="M138" s="3" t="inlineStr"/>
      <c r="N138" s="2">
        <f>(G138-H138)/G138</f>
        <v/>
      </c>
      <c r="O138" s="2">
        <f>G138-H138</f>
        <v/>
      </c>
    </row>
    <row r="139">
      <c r="A139" s="2" t="n">
        <v>139</v>
      </c>
      <c r="B139" s="2" t="inlineStr">
        <is>
          <t>OD00138</t>
        </is>
      </c>
      <c r="C139" s="2" t="inlineStr">
        <is>
          <t>2026-07-22</t>
        </is>
      </c>
      <c r="D139" s="2" t="inlineStr">
        <is>
          <t>苏州</t>
        </is>
      </c>
      <c r="E139" s="2" t="inlineStr">
        <is>
          <t>门店</t>
        </is>
      </c>
      <c r="F139" s="2" t="inlineStr">
        <is>
          <t>烘焙</t>
        </is>
      </c>
      <c r="G139" s="2" t="n">
        <v>315</v>
      </c>
      <c r="H139" s="2" t="n">
        <v>144</v>
      </c>
      <c r="I139" s="2" t="n">
        <v>27</v>
      </c>
      <c r="J139" s="2" t="inlineStr">
        <is>
          <t>否</t>
        </is>
      </c>
      <c r="K139" s="2" t="n">
        <v>3.1</v>
      </c>
      <c r="L139" s="2" t="inlineStr">
        <is>
          <t>有效</t>
        </is>
      </c>
      <c r="M139" s="3" t="inlineStr"/>
      <c r="N139" s="2">
        <f>(G139-H139)/G139</f>
        <v/>
      </c>
      <c r="O139" s="2">
        <f>G139-H139</f>
        <v/>
      </c>
    </row>
    <row r="140">
      <c r="A140" s="2" t="n">
        <v>140</v>
      </c>
      <c r="B140" s="2" t="inlineStr">
        <is>
          <t>OD00139</t>
        </is>
      </c>
      <c r="C140" s="2" t="inlineStr">
        <is>
          <t>2026-08-02</t>
        </is>
      </c>
      <c r="D140" s="2" t="inlineStr">
        <is>
          <t>苏州</t>
        </is>
      </c>
      <c r="E140" s="2" t="inlineStr">
        <is>
          <t>门店</t>
        </is>
      </c>
      <c r="F140" s="2" t="inlineStr">
        <is>
          <t>轻食</t>
        </is>
      </c>
      <c r="G140" s="2" t="n">
        <v>348</v>
      </c>
      <c r="H140" s="2" t="n">
        <v>147</v>
      </c>
      <c r="I140" s="2" t="n">
        <v>92</v>
      </c>
      <c r="J140" s="2" t="inlineStr">
        <is>
          <t>否</t>
        </is>
      </c>
      <c r="K140" s="2" t="n">
        <v>4.5</v>
      </c>
      <c r="L140" s="2" t="inlineStr">
        <is>
          <t>有效</t>
        </is>
      </c>
      <c r="M140" s="3" t="inlineStr"/>
      <c r="N140" s="2">
        <f>(G140-H140)/G140</f>
        <v/>
      </c>
      <c r="O140" s="2">
        <f>G140-H140</f>
        <v/>
      </c>
    </row>
    <row r="141">
      <c r="A141" s="2" t="n">
        <v>141</v>
      </c>
      <c r="B141" s="2" t="inlineStr">
        <is>
          <t>OD00140</t>
        </is>
      </c>
      <c r="C141" s="2" t="inlineStr">
        <is>
          <t>2026-09-09</t>
        </is>
      </c>
      <c r="D141" s="2" t="inlineStr">
        <is>
          <t>南京</t>
        </is>
      </c>
      <c r="E141" s="2" t="inlineStr">
        <is>
          <t>企业团购</t>
        </is>
      </c>
      <c r="F141" s="2" t="inlineStr">
        <is>
          <t>咖啡</t>
        </is>
      </c>
      <c r="G141" s="2" t="n">
        <v>667</v>
      </c>
      <c r="H141" s="2" t="n">
        <v>363</v>
      </c>
      <c r="I141" s="2" t="n">
        <v>13</v>
      </c>
      <c r="J141" s="2" t="inlineStr">
        <is>
          <t>否</t>
        </is>
      </c>
      <c r="K141" s="2" t="n">
        <v>3.3</v>
      </c>
      <c r="L141" s="2" t="inlineStr">
        <is>
          <t>有效</t>
        </is>
      </c>
      <c r="M141" s="3" t="inlineStr"/>
      <c r="N141" s="2">
        <f>(G141-H141)/G141</f>
        <v/>
      </c>
      <c r="O141" s="2">
        <f>G141-H141</f>
        <v/>
      </c>
    </row>
    <row r="142">
      <c r="A142" s="2" t="n">
        <v>142</v>
      </c>
      <c r="B142" s="2" t="inlineStr">
        <is>
          <t>OD00141</t>
        </is>
      </c>
      <c r="C142" s="2" t="inlineStr">
        <is>
          <t>2026-10-16</t>
        </is>
      </c>
      <c r="D142" s="2" t="inlineStr">
        <is>
          <t>苏州</t>
        </is>
      </c>
      <c r="E142" s="2" t="inlineStr">
        <is>
          <t>门店</t>
        </is>
      </c>
      <c r="F142" s="2" t="inlineStr">
        <is>
          <t>茶饮</t>
        </is>
      </c>
      <c r="G142" s="2" t="n">
        <v>457</v>
      </c>
      <c r="H142" s="2" t="n">
        <v>265</v>
      </c>
      <c r="I142" s="2" t="n">
        <v>78</v>
      </c>
      <c r="J142" s="2" t="inlineStr">
        <is>
          <t>否</t>
        </is>
      </c>
      <c r="K142" s="2" t="n">
        <v>3.3</v>
      </c>
      <c r="L142" s="2" t="inlineStr">
        <is>
          <t>有效</t>
        </is>
      </c>
      <c r="M142" s="3" t="inlineStr"/>
      <c r="N142" s="2">
        <f>(G142-H142)/G142</f>
        <v/>
      </c>
      <c r="O142" s="2">
        <f>G142-H142</f>
        <v/>
      </c>
    </row>
    <row r="143">
      <c r="A143" s="2" t="n">
        <v>143</v>
      </c>
      <c r="B143" s="2" t="inlineStr">
        <is>
          <t>OD00142</t>
        </is>
      </c>
      <c r="C143" s="2" t="inlineStr">
        <is>
          <t>2026-11-23</t>
        </is>
      </c>
      <c r="D143" s="2" t="inlineStr">
        <is>
          <t>上海</t>
        </is>
      </c>
      <c r="E143" s="2" t="inlineStr">
        <is>
          <t>小程序</t>
        </is>
      </c>
      <c r="F143" s="2" t="inlineStr">
        <is>
          <t>周边</t>
        </is>
      </c>
      <c r="G143" s="2" t="n">
        <v>318</v>
      </c>
      <c r="H143" s="2" t="n">
        <v>237</v>
      </c>
      <c r="I143" s="2" t="n">
        <v>91</v>
      </c>
      <c r="J143" s="2" t="inlineStr">
        <is>
          <t>否</t>
        </is>
      </c>
      <c r="K143" s="2" t="n">
        <v>4.2</v>
      </c>
      <c r="L143" s="2" t="inlineStr">
        <is>
          <t>有效</t>
        </is>
      </c>
      <c r="M143" s="3" t="inlineStr"/>
      <c r="N143" s="2">
        <f>(G143-H143)/G143</f>
        <v/>
      </c>
      <c r="O143" s="2">
        <f>G143-H143</f>
        <v/>
      </c>
    </row>
    <row r="144">
      <c r="A144" s="2" t="n">
        <v>144</v>
      </c>
      <c r="B144" s="2" t="inlineStr">
        <is>
          <t>OD00143</t>
        </is>
      </c>
      <c r="C144" s="2" t="inlineStr">
        <is>
          <t>2026-12-03</t>
        </is>
      </c>
      <c r="D144" s="2" t="inlineStr">
        <is>
          <t>杭州</t>
        </is>
      </c>
      <c r="E144" s="2" t="inlineStr">
        <is>
          <t>小程序</t>
        </is>
      </c>
      <c r="F144" s="2" t="inlineStr">
        <is>
          <t>烘焙</t>
        </is>
      </c>
      <c r="G144" s="2" t="n">
        <v>282</v>
      </c>
      <c r="H144" s="2" t="n">
        <v>134</v>
      </c>
      <c r="I144" s="2" t="n">
        <v>51</v>
      </c>
      <c r="J144" s="2" t="inlineStr">
        <is>
          <t>是</t>
        </is>
      </c>
      <c r="K144" s="2" t="n">
        <v>4.6</v>
      </c>
      <c r="L144" s="2" t="inlineStr">
        <is>
          <t>有效</t>
        </is>
      </c>
      <c r="M144" s="3" t="inlineStr"/>
      <c r="N144" s="2">
        <f>(G144-H144)/G144</f>
        <v/>
      </c>
      <c r="O144" s="2">
        <f>G144-H144</f>
        <v/>
      </c>
    </row>
    <row r="145">
      <c r="A145" s="2" t="n">
        <v>145</v>
      </c>
      <c r="B145" s="2" t="inlineStr">
        <is>
          <t>OD00144</t>
        </is>
      </c>
      <c r="C145" s="2" t="inlineStr">
        <is>
          <t>2026-01-10</t>
        </is>
      </c>
      <c r="D145" s="2" t="inlineStr">
        <is>
          <t>宁波</t>
        </is>
      </c>
      <c r="E145" s="2" t="inlineStr">
        <is>
          <t>门店</t>
        </is>
      </c>
      <c r="F145" s="2" t="inlineStr">
        <is>
          <t>轻食</t>
        </is>
      </c>
      <c r="G145" s="2" t="n">
        <v>451</v>
      </c>
      <c r="H145" s="2" t="n">
        <v>319</v>
      </c>
      <c r="I145" s="2" t="n">
        <v>77</v>
      </c>
      <c r="J145" s="2" t="inlineStr">
        <is>
          <t>否</t>
        </is>
      </c>
      <c r="K145" s="2" t="n">
        <v>4.6</v>
      </c>
      <c r="L145" s="2" t="inlineStr">
        <is>
          <t>有效</t>
        </is>
      </c>
      <c r="M145" s="3" t="inlineStr"/>
      <c r="N145" s="2">
        <f>(G145-H145)/G145</f>
        <v/>
      </c>
      <c r="O145" s="2">
        <f>G145-H145</f>
        <v/>
      </c>
    </row>
    <row r="146">
      <c r="A146" s="2" t="n">
        <v>146</v>
      </c>
      <c r="B146" s="2" t="inlineStr">
        <is>
          <t>OD00145</t>
        </is>
      </c>
      <c r="C146" s="2" t="inlineStr">
        <is>
          <t>2026-02-17</t>
        </is>
      </c>
      <c r="D146" s="2" t="inlineStr">
        <is>
          <t>杭州</t>
        </is>
      </c>
      <c r="E146" s="2" t="inlineStr">
        <is>
          <t>企业团购</t>
        </is>
      </c>
      <c r="F146" s="2" t="inlineStr">
        <is>
          <t>烘焙</t>
        </is>
      </c>
      <c r="G146" s="2" t="n">
        <v>62</v>
      </c>
      <c r="H146" s="2" t="n">
        <v>33</v>
      </c>
      <c r="I146" s="2" t="n">
        <v>28</v>
      </c>
      <c r="J146" s="2" t="inlineStr">
        <is>
          <t>否</t>
        </is>
      </c>
      <c r="K146" s="2" t="n">
        <v>3.3</v>
      </c>
      <c r="L146" s="2" t="inlineStr">
        <is>
          <t>有效</t>
        </is>
      </c>
      <c r="M146" s="3" t="inlineStr"/>
      <c r="N146" s="2">
        <f>(G146-H146)/G146</f>
        <v/>
      </c>
      <c r="O146" s="2">
        <f>G146-H146</f>
        <v/>
      </c>
    </row>
    <row r="147">
      <c r="A147" s="2" t="n">
        <v>147</v>
      </c>
      <c r="B147" s="2" t="inlineStr">
        <is>
          <t>OD00146</t>
        </is>
      </c>
      <c r="C147" s="2" t="inlineStr">
        <is>
          <t>2026-03-24</t>
        </is>
      </c>
      <c r="D147" s="2" t="inlineStr">
        <is>
          <t>苏州</t>
        </is>
      </c>
      <c r="E147" s="2" t="inlineStr">
        <is>
          <t>门店</t>
        </is>
      </c>
      <c r="F147" s="2" t="inlineStr">
        <is>
          <t>烘焙</t>
        </is>
      </c>
      <c r="G147" s="2" t="n">
        <v>552</v>
      </c>
      <c r="H147" s="2" t="n">
        <v>242</v>
      </c>
      <c r="I147" s="2" t="n">
        <v>20</v>
      </c>
      <c r="J147" s="2" t="inlineStr">
        <is>
          <t>否</t>
        </is>
      </c>
      <c r="K147" s="2" t="n">
        <v>4</v>
      </c>
      <c r="L147" s="2" t="inlineStr">
        <is>
          <t>有效</t>
        </is>
      </c>
      <c r="M147" s="3" t="inlineStr"/>
      <c r="N147" s="2">
        <f>(G147-H147)/G147</f>
        <v/>
      </c>
      <c r="O147" s="2">
        <f>G147-H147</f>
        <v/>
      </c>
    </row>
    <row r="148">
      <c r="A148" s="2" t="n">
        <v>148</v>
      </c>
      <c r="B148" s="2" t="inlineStr">
        <is>
          <t>OD00147</t>
        </is>
      </c>
      <c r="C148" s="2" t="inlineStr">
        <is>
          <t>2026-04-04</t>
        </is>
      </c>
      <c r="D148" s="2" t="inlineStr">
        <is>
          <t>苏州</t>
        </is>
      </c>
      <c r="E148" s="2" t="inlineStr">
        <is>
          <t>外卖平台</t>
        </is>
      </c>
      <c r="F148" s="2" t="inlineStr">
        <is>
          <t>茶饮</t>
        </is>
      </c>
      <c r="G148" s="2" t="n">
        <v>192</v>
      </c>
      <c r="H148" s="2" t="n">
        <v>83</v>
      </c>
      <c r="I148" s="2" t="n">
        <v>46</v>
      </c>
      <c r="J148" s="2" t="inlineStr">
        <is>
          <t>否</t>
        </is>
      </c>
      <c r="K148" s="2" t="n">
        <v>4.5</v>
      </c>
      <c r="L148" s="2" t="inlineStr">
        <is>
          <t>有效</t>
        </is>
      </c>
      <c r="M148" s="3" t="inlineStr"/>
      <c r="N148" s="2">
        <f>(G148-H148)/G148</f>
        <v/>
      </c>
      <c r="O148" s="2">
        <f>G148-H148</f>
        <v/>
      </c>
    </row>
    <row r="149">
      <c r="A149" s="2" t="n">
        <v>149</v>
      </c>
      <c r="B149" s="2" t="inlineStr">
        <is>
          <t>OD00148</t>
        </is>
      </c>
      <c r="C149" s="2" t="inlineStr">
        <is>
          <t>2026-05-11</t>
        </is>
      </c>
      <c r="D149" s="2" t="inlineStr">
        <is>
          <t>合肥</t>
        </is>
      </c>
      <c r="E149" s="2" t="inlineStr">
        <is>
          <t>企业团购</t>
        </is>
      </c>
      <c r="F149" s="2" t="inlineStr">
        <is>
          <t>轻食</t>
        </is>
      </c>
      <c r="G149" s="2" t="n">
        <v>264</v>
      </c>
      <c r="H149" s="2" t="n">
        <v>155</v>
      </c>
      <c r="I149" s="2" t="n">
        <v>42</v>
      </c>
      <c r="J149" s="2" t="inlineStr">
        <is>
          <t>否</t>
        </is>
      </c>
      <c r="K149" s="2" t="n">
        <v>3.7</v>
      </c>
      <c r="L149" s="2" t="inlineStr">
        <is>
          <t>有效</t>
        </is>
      </c>
      <c r="M149" s="3" t="inlineStr"/>
      <c r="N149" s="2">
        <f>(G149-H149)/G149</f>
        <v/>
      </c>
      <c r="O149" s="2">
        <f>G149-H149</f>
        <v/>
      </c>
    </row>
    <row r="150">
      <c r="A150" s="4" t="n">
        <v>150</v>
      </c>
      <c r="B150" s="4" t="inlineStr">
        <is>
          <t>OD00149</t>
        </is>
      </c>
      <c r="C150" s="4" t="inlineStr">
        <is>
          <t>2026-06-18</t>
        </is>
      </c>
      <c r="D150" s="4" t="inlineStr">
        <is>
          <t>苏州</t>
        </is>
      </c>
      <c r="E150" s="4" t="inlineStr">
        <is>
          <t>企业团购</t>
        </is>
      </c>
      <c r="F150" s="4" t="inlineStr">
        <is>
          <t>咖啡</t>
        </is>
      </c>
      <c r="G150" s="4" t="inlineStr"/>
      <c r="H150" s="4" t="n">
        <v>311</v>
      </c>
      <c r="I150" s="4" t="n">
        <v>28</v>
      </c>
      <c r="J150" s="4" t="inlineStr">
        <is>
          <t>否</t>
        </is>
      </c>
      <c r="K150" s="4" t="n">
        <v>4.5</v>
      </c>
      <c r="L150" s="4" t="inlineStr">
        <is>
          <t>异常</t>
        </is>
      </c>
      <c r="M150" s="5" t="inlineStr">
        <is>
          <t>销售额缺失</t>
        </is>
      </c>
      <c r="N150" s="4" t="inlineStr">
        <is>
          <t>N/A</t>
        </is>
      </c>
      <c r="O150" s="4" t="inlineStr">
        <is>
          <t>N/A</t>
        </is>
      </c>
    </row>
    <row r="151">
      <c r="A151" s="2" t="n">
        <v>151</v>
      </c>
      <c r="B151" s="2" t="inlineStr">
        <is>
          <t>OD00150</t>
        </is>
      </c>
      <c r="C151" s="2" t="inlineStr">
        <is>
          <t>2026-07-25</t>
        </is>
      </c>
      <c r="D151" s="2" t="inlineStr">
        <is>
          <t>苏州</t>
        </is>
      </c>
      <c r="E151" s="2" t="inlineStr">
        <is>
          <t>门店</t>
        </is>
      </c>
      <c r="F151" s="2" t="inlineStr">
        <is>
          <t>茶饮</t>
        </is>
      </c>
      <c r="G151" s="2" t="n">
        <v>562</v>
      </c>
      <c r="H151" s="2" t="n">
        <v>283</v>
      </c>
      <c r="I151" s="2" t="n">
        <v>12</v>
      </c>
      <c r="J151" s="2" t="inlineStr">
        <is>
          <t>否</t>
        </is>
      </c>
      <c r="K151" s="2" t="n">
        <v>3.1</v>
      </c>
      <c r="L151" s="2" t="inlineStr">
        <is>
          <t>有效</t>
        </is>
      </c>
      <c r="M151" s="3" t="inlineStr"/>
      <c r="N151" s="2">
        <f>(G151-H151)/G151</f>
        <v/>
      </c>
      <c r="O151" s="2">
        <f>G151-H151</f>
        <v/>
      </c>
    </row>
    <row r="152">
      <c r="A152" s="2" t="n">
        <v>152</v>
      </c>
      <c r="B152" s="2" t="inlineStr">
        <is>
          <t>OD00151</t>
        </is>
      </c>
      <c r="C152" s="2" t="inlineStr">
        <is>
          <t>2026-08-05</t>
        </is>
      </c>
      <c r="D152" s="2" t="inlineStr">
        <is>
          <t>宁波</t>
        </is>
      </c>
      <c r="E152" s="2" t="inlineStr">
        <is>
          <t>门店</t>
        </is>
      </c>
      <c r="F152" s="2" t="inlineStr">
        <is>
          <t>周边</t>
        </is>
      </c>
      <c r="G152" s="2" t="n">
        <v>392</v>
      </c>
      <c r="H152" s="2" t="n">
        <v>242</v>
      </c>
      <c r="I152" s="2" t="n">
        <v>78</v>
      </c>
      <c r="J152" s="2" t="inlineStr">
        <is>
          <t>否</t>
        </is>
      </c>
      <c r="K152" s="2" t="n">
        <v>3.9</v>
      </c>
      <c r="L152" s="2" t="inlineStr">
        <is>
          <t>有效</t>
        </is>
      </c>
      <c r="M152" s="3" t="inlineStr"/>
      <c r="N152" s="2">
        <f>(G152-H152)/G152</f>
        <v/>
      </c>
      <c r="O152" s="2">
        <f>G152-H152</f>
        <v/>
      </c>
    </row>
    <row r="153">
      <c r="A153" s="2" t="n">
        <v>153</v>
      </c>
      <c r="B153" s="2" t="inlineStr">
        <is>
          <t>OD00152</t>
        </is>
      </c>
      <c r="C153" s="2" t="inlineStr">
        <is>
          <t>2026-09-12</t>
        </is>
      </c>
      <c r="D153" s="2" t="inlineStr">
        <is>
          <t>苏州</t>
        </is>
      </c>
      <c r="E153" s="2" t="inlineStr">
        <is>
          <t>小程序</t>
        </is>
      </c>
      <c r="F153" s="2" t="inlineStr">
        <is>
          <t>轻食</t>
        </is>
      </c>
      <c r="G153" s="2" t="n">
        <v>155</v>
      </c>
      <c r="H153" s="2" t="n">
        <v>116</v>
      </c>
      <c r="I153" s="2" t="n">
        <v>43</v>
      </c>
      <c r="J153" s="2" t="inlineStr">
        <is>
          <t>否</t>
        </is>
      </c>
      <c r="K153" s="2" t="n">
        <v>4.7</v>
      </c>
      <c r="L153" s="2" t="inlineStr">
        <is>
          <t>有效</t>
        </is>
      </c>
      <c r="M153" s="3" t="inlineStr"/>
      <c r="N153" s="2">
        <f>(G153-H153)/G153</f>
        <v/>
      </c>
      <c r="O153" s="2">
        <f>G153-H153</f>
        <v/>
      </c>
    </row>
    <row r="154">
      <c r="A154" s="2" t="n">
        <v>154</v>
      </c>
      <c r="B154" s="2" t="inlineStr">
        <is>
          <t>OD00153</t>
        </is>
      </c>
      <c r="C154" s="2" t="inlineStr">
        <is>
          <t>2026-10-19</t>
        </is>
      </c>
      <c r="D154" s="2" t="inlineStr">
        <is>
          <t>南京</t>
        </is>
      </c>
      <c r="E154" s="2" t="inlineStr">
        <is>
          <t>外卖平台</t>
        </is>
      </c>
      <c r="F154" s="2" t="inlineStr">
        <is>
          <t>周边</t>
        </is>
      </c>
      <c r="G154" s="2" t="n">
        <v>590</v>
      </c>
      <c r="H154" s="2" t="n">
        <v>346</v>
      </c>
      <c r="I154" s="2" t="n">
        <v>70</v>
      </c>
      <c r="J154" s="2" t="inlineStr">
        <is>
          <t>否</t>
        </is>
      </c>
      <c r="K154" s="2" t="n">
        <v>4</v>
      </c>
      <c r="L154" s="2" t="inlineStr">
        <is>
          <t>有效</t>
        </is>
      </c>
      <c r="M154" s="3" t="inlineStr"/>
      <c r="N154" s="2">
        <f>(G154-H154)/G154</f>
        <v/>
      </c>
      <c r="O154" s="2">
        <f>G154-H154</f>
        <v/>
      </c>
    </row>
    <row r="155">
      <c r="A155" s="2" t="n">
        <v>155</v>
      </c>
      <c r="B155" s="2" t="inlineStr">
        <is>
          <t>OD00154</t>
        </is>
      </c>
      <c r="C155" s="2" t="inlineStr">
        <is>
          <t>2026-11-26</t>
        </is>
      </c>
      <c r="D155" s="2" t="inlineStr">
        <is>
          <t>苏州</t>
        </is>
      </c>
      <c r="E155" s="2" t="inlineStr">
        <is>
          <t>小程序</t>
        </is>
      </c>
      <c r="F155" s="2" t="inlineStr">
        <is>
          <t>茶饮</t>
        </is>
      </c>
      <c r="G155" s="2" t="n">
        <v>398</v>
      </c>
      <c r="H155" s="2" t="n">
        <v>274</v>
      </c>
      <c r="I155" s="2" t="n">
        <v>49</v>
      </c>
      <c r="J155" s="2" t="inlineStr">
        <is>
          <t>否</t>
        </is>
      </c>
      <c r="K155" s="2" t="n">
        <v>3.8</v>
      </c>
      <c r="L155" s="2" t="inlineStr">
        <is>
          <t>有效</t>
        </is>
      </c>
      <c r="M155" s="3" t="inlineStr"/>
      <c r="N155" s="2">
        <f>(G155-H155)/G155</f>
        <v/>
      </c>
      <c r="O155" s="2">
        <f>G155-H155</f>
        <v/>
      </c>
    </row>
    <row r="156">
      <c r="A156" s="2" t="n">
        <v>156</v>
      </c>
      <c r="B156" s="2" t="inlineStr">
        <is>
          <t>OD00155</t>
        </is>
      </c>
      <c r="C156" s="2" t="inlineStr">
        <is>
          <t>2026-12-06</t>
        </is>
      </c>
      <c r="D156" s="2" t="inlineStr">
        <is>
          <t>合肥</t>
        </is>
      </c>
      <c r="E156" s="2" t="inlineStr">
        <is>
          <t>小程序</t>
        </is>
      </c>
      <c r="F156" s="2" t="inlineStr">
        <is>
          <t>周边</t>
        </is>
      </c>
      <c r="G156" s="2" t="n">
        <v>93</v>
      </c>
      <c r="H156" s="2" t="n">
        <v>69</v>
      </c>
      <c r="I156" s="2" t="n">
        <v>37</v>
      </c>
      <c r="J156" s="2" t="inlineStr">
        <is>
          <t>否</t>
        </is>
      </c>
      <c r="K156" s="2" t="n">
        <v>3.8</v>
      </c>
      <c r="L156" s="2" t="inlineStr">
        <is>
          <t>有效</t>
        </is>
      </c>
      <c r="M156" s="3" t="inlineStr"/>
      <c r="N156" s="2">
        <f>(G156-H156)/G156</f>
        <v/>
      </c>
      <c r="O156" s="2">
        <f>G156-H156</f>
        <v/>
      </c>
    </row>
    <row r="157">
      <c r="A157" s="4" t="n">
        <v>157</v>
      </c>
      <c r="B157" s="4" t="inlineStr">
        <is>
          <t>OD00156</t>
        </is>
      </c>
      <c r="C157" s="4" t="inlineStr">
        <is>
          <t>2026-01-13</t>
        </is>
      </c>
      <c r="D157" s="4" t="inlineStr">
        <is>
          <t>合肥</t>
        </is>
      </c>
      <c r="E157" s="4" t="inlineStr">
        <is>
          <t>门店</t>
        </is>
      </c>
      <c r="F157" s="4" t="inlineStr">
        <is>
          <t>周边</t>
        </is>
      </c>
      <c r="G157" s="4" t="n">
        <v>659</v>
      </c>
      <c r="H157" s="4" t="inlineStr"/>
      <c r="I157" s="4" t="n">
        <v>93</v>
      </c>
      <c r="J157" s="4" t="inlineStr">
        <is>
          <t>否</t>
        </is>
      </c>
      <c r="K157" s="4" t="n">
        <v>3.9</v>
      </c>
      <c r="L157" s="4" t="inlineStr">
        <is>
          <t>异常</t>
        </is>
      </c>
      <c r="M157" s="5" t="inlineStr">
        <is>
          <t>成本缺失</t>
        </is>
      </c>
      <c r="N157" s="4" t="inlineStr">
        <is>
          <t>N/A</t>
        </is>
      </c>
      <c r="O157" s="4" t="inlineStr">
        <is>
          <t>N/A</t>
        </is>
      </c>
    </row>
    <row r="158">
      <c r="A158" s="2" t="n">
        <v>158</v>
      </c>
      <c r="B158" s="2" t="inlineStr">
        <is>
          <t>OD00157</t>
        </is>
      </c>
      <c r="C158" s="2" t="inlineStr">
        <is>
          <t>2026-02-20</t>
        </is>
      </c>
      <c r="D158" s="2" t="inlineStr">
        <is>
          <t>杭州</t>
        </is>
      </c>
      <c r="E158" s="2" t="inlineStr">
        <is>
          <t>小程序</t>
        </is>
      </c>
      <c r="F158" s="2" t="inlineStr">
        <is>
          <t>周边</t>
        </is>
      </c>
      <c r="G158" s="2" t="n">
        <v>197</v>
      </c>
      <c r="H158" s="2" t="n">
        <v>129</v>
      </c>
      <c r="I158" s="2" t="n">
        <v>48</v>
      </c>
      <c r="J158" s="2" t="inlineStr">
        <is>
          <t>否</t>
        </is>
      </c>
      <c r="K158" s="2" t="n">
        <v>3.6</v>
      </c>
      <c r="L158" s="2" t="inlineStr">
        <is>
          <t>有效</t>
        </is>
      </c>
      <c r="M158" s="3" t="inlineStr"/>
      <c r="N158" s="2">
        <f>(G158-H158)/G158</f>
        <v/>
      </c>
      <c r="O158" s="2">
        <f>G158-H158</f>
        <v/>
      </c>
    </row>
    <row r="159">
      <c r="A159" s="2" t="n">
        <v>159</v>
      </c>
      <c r="B159" s="2" t="inlineStr">
        <is>
          <t>OD00158</t>
        </is>
      </c>
      <c r="C159" s="2" t="inlineStr">
        <is>
          <t>2026-03-27</t>
        </is>
      </c>
      <c r="D159" s="2" t="inlineStr">
        <is>
          <t>宁波</t>
        </is>
      </c>
      <c r="E159" s="2" t="inlineStr">
        <is>
          <t>外卖平台</t>
        </is>
      </c>
      <c r="F159" s="2" t="inlineStr">
        <is>
          <t>周边</t>
        </is>
      </c>
      <c r="G159" s="2" t="n">
        <v>222</v>
      </c>
      <c r="H159" s="2" t="n">
        <v>139</v>
      </c>
      <c r="I159" s="2" t="n">
        <v>78</v>
      </c>
      <c r="J159" s="2" t="inlineStr">
        <is>
          <t>否</t>
        </is>
      </c>
      <c r="K159" s="2" t="n">
        <v>3.3</v>
      </c>
      <c r="L159" s="2" t="inlineStr">
        <is>
          <t>有效</t>
        </is>
      </c>
      <c r="M159" s="3" t="inlineStr"/>
      <c r="N159" s="2">
        <f>(G159-H159)/G159</f>
        <v/>
      </c>
      <c r="O159" s="2">
        <f>G159-H159</f>
        <v/>
      </c>
    </row>
    <row r="160">
      <c r="A160" s="2" t="n">
        <v>160</v>
      </c>
      <c r="B160" s="2" t="inlineStr">
        <is>
          <t>OD00159</t>
        </is>
      </c>
      <c r="C160" s="2" t="inlineStr">
        <is>
          <t>2026-04-07</t>
        </is>
      </c>
      <c r="D160" s="2" t="inlineStr">
        <is>
          <t>苏州</t>
        </is>
      </c>
      <c r="E160" s="2" t="inlineStr">
        <is>
          <t>门店</t>
        </is>
      </c>
      <c r="F160" s="2" t="inlineStr">
        <is>
          <t>烘焙</t>
        </is>
      </c>
      <c r="G160" s="2" t="n">
        <v>590</v>
      </c>
      <c r="H160" s="2" t="n">
        <v>414</v>
      </c>
      <c r="I160" s="2" t="n">
        <v>45</v>
      </c>
      <c r="J160" s="2" t="inlineStr">
        <is>
          <t>否</t>
        </is>
      </c>
      <c r="K160" s="2" t="n">
        <v>3.4</v>
      </c>
      <c r="L160" s="2" t="inlineStr">
        <is>
          <t>有效</t>
        </is>
      </c>
      <c r="M160" s="3" t="inlineStr"/>
      <c r="N160" s="2">
        <f>(G160-H160)/G160</f>
        <v/>
      </c>
      <c r="O160" s="2">
        <f>G160-H160</f>
        <v/>
      </c>
    </row>
    <row r="161">
      <c r="A161" s="2" t="n">
        <v>161</v>
      </c>
      <c r="B161" s="2" t="inlineStr">
        <is>
          <t>OD00160</t>
        </is>
      </c>
      <c r="C161" s="2" t="inlineStr">
        <is>
          <t>2026-05-14</t>
        </is>
      </c>
      <c r="D161" s="2" t="inlineStr">
        <is>
          <t>上海</t>
        </is>
      </c>
      <c r="E161" s="2" t="inlineStr">
        <is>
          <t>门店</t>
        </is>
      </c>
      <c r="F161" s="2" t="inlineStr">
        <is>
          <t>轻食</t>
        </is>
      </c>
      <c r="G161" s="2" t="n">
        <v>391</v>
      </c>
      <c r="H161" s="2" t="n">
        <v>221</v>
      </c>
      <c r="I161" s="2" t="n">
        <v>49</v>
      </c>
      <c r="J161" s="2" t="inlineStr">
        <is>
          <t>否</t>
        </is>
      </c>
      <c r="K161" s="2" t="n">
        <v>4.4</v>
      </c>
      <c r="L161" s="2" t="inlineStr">
        <is>
          <t>有效</t>
        </is>
      </c>
      <c r="M161" s="3" t="inlineStr"/>
      <c r="N161" s="2">
        <f>(G161-H161)/G161</f>
        <v/>
      </c>
      <c r="O161" s="2">
        <f>G161-H161</f>
        <v/>
      </c>
    </row>
    <row r="162">
      <c r="A162" s="2" t="n">
        <v>162</v>
      </c>
      <c r="B162" s="2" t="inlineStr">
        <is>
          <t>OD00161</t>
        </is>
      </c>
      <c r="C162" s="2" t="inlineStr">
        <is>
          <t>2026-06-21</t>
        </is>
      </c>
      <c r="D162" s="2" t="inlineStr">
        <is>
          <t>南京</t>
        </is>
      </c>
      <c r="E162" s="2" t="inlineStr">
        <is>
          <t>门店</t>
        </is>
      </c>
      <c r="F162" s="2" t="inlineStr">
        <is>
          <t>咖啡</t>
        </is>
      </c>
      <c r="G162" s="2" t="n">
        <v>364</v>
      </c>
      <c r="H162" s="2" t="n">
        <v>171</v>
      </c>
      <c r="I162" s="2" t="n">
        <v>56</v>
      </c>
      <c r="J162" s="2" t="inlineStr">
        <is>
          <t>否</t>
        </is>
      </c>
      <c r="K162" s="2" t="n">
        <v>4.7</v>
      </c>
      <c r="L162" s="2" t="inlineStr">
        <is>
          <t>有效</t>
        </is>
      </c>
      <c r="M162" s="3" t="inlineStr"/>
      <c r="N162" s="2">
        <f>(G162-H162)/G162</f>
        <v/>
      </c>
      <c r="O162" s="2">
        <f>G162-H162</f>
        <v/>
      </c>
    </row>
    <row r="163">
      <c r="A163" s="2" t="n">
        <v>163</v>
      </c>
      <c r="B163" s="2" t="inlineStr">
        <is>
          <t>OD00162</t>
        </is>
      </c>
      <c r="C163" s="2" t="inlineStr">
        <is>
          <t>2026-07-01</t>
        </is>
      </c>
      <c r="D163" s="2" t="inlineStr">
        <is>
          <t>合肥</t>
        </is>
      </c>
      <c r="E163" s="2" t="inlineStr">
        <is>
          <t>外卖平台</t>
        </is>
      </c>
      <c r="F163" s="2" t="inlineStr">
        <is>
          <t>轻食</t>
        </is>
      </c>
      <c r="G163" s="2" t="n">
        <v>52</v>
      </c>
      <c r="H163" s="2" t="n">
        <v>32</v>
      </c>
      <c r="I163" s="2" t="n">
        <v>24</v>
      </c>
      <c r="J163" s="2" t="inlineStr">
        <is>
          <t>否</t>
        </is>
      </c>
      <c r="K163" s="2" t="n">
        <v>3.6</v>
      </c>
      <c r="L163" s="2" t="inlineStr">
        <is>
          <t>有效</t>
        </is>
      </c>
      <c r="M163" s="3" t="inlineStr"/>
      <c r="N163" s="2">
        <f>(G163-H163)/G163</f>
        <v/>
      </c>
      <c r="O163" s="2">
        <f>G163-H163</f>
        <v/>
      </c>
    </row>
    <row r="164">
      <c r="A164" s="2" t="n">
        <v>164</v>
      </c>
      <c r="B164" s="2" t="inlineStr">
        <is>
          <t>OD00163</t>
        </is>
      </c>
      <c r="C164" s="2" t="inlineStr">
        <is>
          <t>2026-08-08</t>
        </is>
      </c>
      <c r="D164" s="2" t="inlineStr">
        <is>
          <t>宁波</t>
        </is>
      </c>
      <c r="E164" s="2" t="inlineStr">
        <is>
          <t>小程序</t>
        </is>
      </c>
      <c r="F164" s="2" t="inlineStr">
        <is>
          <t>咖啡</t>
        </is>
      </c>
      <c r="G164" s="2" t="n">
        <v>573</v>
      </c>
      <c r="H164" s="2" t="n">
        <v>263</v>
      </c>
      <c r="I164" s="2" t="n">
        <v>31</v>
      </c>
      <c r="J164" s="2" t="inlineStr">
        <is>
          <t>否</t>
        </is>
      </c>
      <c r="K164" s="2" t="n">
        <v>4</v>
      </c>
      <c r="L164" s="2" t="inlineStr">
        <is>
          <t>有效</t>
        </is>
      </c>
      <c r="M164" s="3" t="inlineStr"/>
      <c r="N164" s="2">
        <f>(G164-H164)/G164</f>
        <v/>
      </c>
      <c r="O164" s="2">
        <f>G164-H164</f>
        <v/>
      </c>
    </row>
    <row r="165">
      <c r="A165" s="2" t="n">
        <v>165</v>
      </c>
      <c r="B165" s="2" t="inlineStr">
        <is>
          <t>OD00164</t>
        </is>
      </c>
      <c r="C165" s="2" t="inlineStr">
        <is>
          <t>2026-09-15</t>
        </is>
      </c>
      <c r="D165" s="2" t="inlineStr">
        <is>
          <t>苏州</t>
        </is>
      </c>
      <c r="E165" s="2" t="inlineStr">
        <is>
          <t>门店</t>
        </is>
      </c>
      <c r="F165" s="2" t="inlineStr">
        <is>
          <t>茶饮</t>
        </is>
      </c>
      <c r="G165" s="2" t="n">
        <v>82</v>
      </c>
      <c r="H165" s="2" t="n">
        <v>53</v>
      </c>
      <c r="I165" s="2" t="n">
        <v>90</v>
      </c>
      <c r="J165" s="2" t="inlineStr">
        <is>
          <t>否</t>
        </is>
      </c>
      <c r="K165" s="2" t="n">
        <v>3.2</v>
      </c>
      <c r="L165" s="2" t="inlineStr">
        <is>
          <t>有效</t>
        </is>
      </c>
      <c r="M165" s="3" t="inlineStr"/>
      <c r="N165" s="2">
        <f>(G165-H165)/G165</f>
        <v/>
      </c>
      <c r="O165" s="2">
        <f>G165-H165</f>
        <v/>
      </c>
    </row>
    <row r="166">
      <c r="A166" s="2" t="n">
        <v>166</v>
      </c>
      <c r="B166" s="2" t="inlineStr">
        <is>
          <t>OD00165</t>
        </is>
      </c>
      <c r="C166" s="2" t="inlineStr">
        <is>
          <t>2026-10-22</t>
        </is>
      </c>
      <c r="D166" s="2" t="inlineStr">
        <is>
          <t>上海</t>
        </is>
      </c>
      <c r="E166" s="2" t="inlineStr">
        <is>
          <t>小程序</t>
        </is>
      </c>
      <c r="F166" s="2" t="inlineStr">
        <is>
          <t>轻食</t>
        </is>
      </c>
      <c r="G166" s="2" t="n">
        <v>566</v>
      </c>
      <c r="H166" s="2" t="n">
        <v>304</v>
      </c>
      <c r="I166" s="2" t="n">
        <v>35</v>
      </c>
      <c r="J166" s="2" t="inlineStr">
        <is>
          <t>否</t>
        </is>
      </c>
      <c r="K166" s="2" t="n">
        <v>4.1</v>
      </c>
      <c r="L166" s="2" t="inlineStr">
        <is>
          <t>有效</t>
        </is>
      </c>
      <c r="M166" s="3" t="inlineStr"/>
      <c r="N166" s="2">
        <f>(G166-H166)/G166</f>
        <v/>
      </c>
      <c r="O166" s="2">
        <f>G166-H166</f>
        <v/>
      </c>
    </row>
    <row r="167">
      <c r="A167" s="2" t="n">
        <v>167</v>
      </c>
      <c r="B167" s="2" t="inlineStr">
        <is>
          <t>OD00166</t>
        </is>
      </c>
      <c r="C167" s="2" t="inlineStr">
        <is>
          <t>2026-11-02</t>
        </is>
      </c>
      <c r="D167" s="2" t="inlineStr">
        <is>
          <t>合肥</t>
        </is>
      </c>
      <c r="E167" s="2" t="inlineStr">
        <is>
          <t>外卖平台</t>
        </is>
      </c>
      <c r="F167" s="2" t="inlineStr">
        <is>
          <t>茶饮</t>
        </is>
      </c>
      <c r="G167" s="2" t="n">
        <v>447</v>
      </c>
      <c r="H167" s="2" t="n">
        <v>269</v>
      </c>
      <c r="I167" s="2" t="n">
        <v>62</v>
      </c>
      <c r="J167" s="2" t="inlineStr">
        <is>
          <t>否</t>
        </is>
      </c>
      <c r="K167" s="2" t="n">
        <v>4</v>
      </c>
      <c r="L167" s="2" t="inlineStr">
        <is>
          <t>有效</t>
        </is>
      </c>
      <c r="M167" s="3" t="inlineStr"/>
      <c r="N167" s="2">
        <f>(G167-H167)/G167</f>
        <v/>
      </c>
      <c r="O167" s="2">
        <f>G167-H167</f>
        <v/>
      </c>
    </row>
    <row r="168">
      <c r="A168" s="2" t="n">
        <v>168</v>
      </c>
      <c r="B168" s="2" t="inlineStr">
        <is>
          <t>OD00167</t>
        </is>
      </c>
      <c r="C168" s="2" t="inlineStr">
        <is>
          <t>2026-12-09</t>
        </is>
      </c>
      <c r="D168" s="2" t="inlineStr">
        <is>
          <t>杭州</t>
        </is>
      </c>
      <c r="E168" s="2" t="inlineStr">
        <is>
          <t>外卖平台</t>
        </is>
      </c>
      <c r="F168" s="2" t="inlineStr">
        <is>
          <t>咖啡</t>
        </is>
      </c>
      <c r="G168" s="2" t="n">
        <v>287</v>
      </c>
      <c r="H168" s="2" t="n">
        <v>199</v>
      </c>
      <c r="I168" s="2" t="n">
        <v>84</v>
      </c>
      <c r="J168" s="2" t="inlineStr">
        <is>
          <t>否</t>
        </is>
      </c>
      <c r="K168" s="2" t="n">
        <v>4.5</v>
      </c>
      <c r="L168" s="2" t="inlineStr">
        <is>
          <t>有效</t>
        </is>
      </c>
      <c r="M168" s="3" t="inlineStr"/>
      <c r="N168" s="2">
        <f>(G168-H168)/G168</f>
        <v/>
      </c>
      <c r="O168" s="2">
        <f>G168-H168</f>
        <v/>
      </c>
    </row>
    <row r="169">
      <c r="A169" s="2" t="n">
        <v>169</v>
      </c>
      <c r="B169" s="2" t="inlineStr">
        <is>
          <t>OD00168</t>
        </is>
      </c>
      <c r="C169" s="2" t="inlineStr">
        <is>
          <t>2026-01-16</t>
        </is>
      </c>
      <c r="D169" s="2" t="inlineStr">
        <is>
          <t>杭州</t>
        </is>
      </c>
      <c r="E169" s="2" t="inlineStr">
        <is>
          <t>小程序</t>
        </is>
      </c>
      <c r="F169" s="2" t="inlineStr">
        <is>
          <t>烘焙</t>
        </is>
      </c>
      <c r="G169" s="2" t="n">
        <v>217</v>
      </c>
      <c r="H169" s="2" t="n">
        <v>106</v>
      </c>
      <c r="I169" s="2" t="n">
        <v>53</v>
      </c>
      <c r="J169" s="2" t="inlineStr">
        <is>
          <t>否</t>
        </is>
      </c>
      <c r="K169" s="2" t="n">
        <v>4</v>
      </c>
      <c r="L169" s="2" t="inlineStr">
        <is>
          <t>有效</t>
        </is>
      </c>
      <c r="M169" s="3" t="inlineStr"/>
      <c r="N169" s="2">
        <f>(G169-H169)/G169</f>
        <v/>
      </c>
      <c r="O169" s="2">
        <f>G169-H169</f>
        <v/>
      </c>
    </row>
    <row r="170">
      <c r="A170" s="2" t="n">
        <v>170</v>
      </c>
      <c r="B170" s="2" t="inlineStr">
        <is>
          <t>OD00169</t>
        </is>
      </c>
      <c r="C170" s="2" t="inlineStr">
        <is>
          <t>2026-02-23</t>
        </is>
      </c>
      <c r="D170" s="2" t="inlineStr">
        <is>
          <t>杭州</t>
        </is>
      </c>
      <c r="E170" s="2" t="inlineStr">
        <is>
          <t>企业团购</t>
        </is>
      </c>
      <c r="F170" s="2" t="inlineStr">
        <is>
          <t>烘焙</t>
        </is>
      </c>
      <c r="G170" s="2" t="n">
        <v>477</v>
      </c>
      <c r="H170" s="2" t="n">
        <v>260</v>
      </c>
      <c r="I170" s="2" t="n">
        <v>45</v>
      </c>
      <c r="J170" s="2" t="inlineStr">
        <is>
          <t>否</t>
        </is>
      </c>
      <c r="K170" s="2" t="n">
        <v>3.5</v>
      </c>
      <c r="L170" s="2" t="inlineStr">
        <is>
          <t>有效</t>
        </is>
      </c>
      <c r="M170" s="3" t="inlineStr"/>
      <c r="N170" s="2">
        <f>(G170-H170)/G170</f>
        <v/>
      </c>
      <c r="O170" s="2">
        <f>G170-H170</f>
        <v/>
      </c>
    </row>
    <row r="171">
      <c r="A171" s="2" t="n">
        <v>171</v>
      </c>
      <c r="B171" s="2" t="inlineStr">
        <is>
          <t>OD00170</t>
        </is>
      </c>
      <c r="C171" s="2" t="inlineStr">
        <is>
          <t>2026-03-03</t>
        </is>
      </c>
      <c r="D171" s="2" t="inlineStr">
        <is>
          <t>苏州</t>
        </is>
      </c>
      <c r="E171" s="2" t="inlineStr">
        <is>
          <t>企业团购</t>
        </is>
      </c>
      <c r="F171" s="2" t="inlineStr">
        <is>
          <t>周边</t>
        </is>
      </c>
      <c r="G171" s="2" t="n">
        <v>395</v>
      </c>
      <c r="H171" s="2" t="n">
        <v>174</v>
      </c>
      <c r="I171" s="2" t="n">
        <v>15</v>
      </c>
      <c r="J171" s="2" t="inlineStr">
        <is>
          <t>否</t>
        </is>
      </c>
      <c r="K171" s="2" t="n">
        <v>4.8</v>
      </c>
      <c r="L171" s="2" t="inlineStr">
        <is>
          <t>有效</t>
        </is>
      </c>
      <c r="M171" s="3" t="inlineStr"/>
      <c r="N171" s="2">
        <f>(G171-H171)/G171</f>
        <v/>
      </c>
      <c r="O171" s="2">
        <f>G171-H171</f>
        <v/>
      </c>
    </row>
    <row r="172">
      <c r="A172" s="2" t="n">
        <v>172</v>
      </c>
      <c r="B172" s="2" t="inlineStr">
        <is>
          <t>OD00171</t>
        </is>
      </c>
      <c r="C172" s="2" t="inlineStr">
        <is>
          <t>2026-04-10</t>
        </is>
      </c>
      <c r="D172" s="2" t="inlineStr">
        <is>
          <t>杭州</t>
        </is>
      </c>
      <c r="E172" s="2" t="inlineStr">
        <is>
          <t>小程序</t>
        </is>
      </c>
      <c r="F172" s="2" t="inlineStr">
        <is>
          <t>烘焙</t>
        </is>
      </c>
      <c r="G172" s="2" t="n">
        <v>546</v>
      </c>
      <c r="H172" s="2" t="n">
        <v>269</v>
      </c>
      <c r="I172" s="2" t="n">
        <v>85</v>
      </c>
      <c r="J172" s="2" t="inlineStr">
        <is>
          <t>否</t>
        </is>
      </c>
      <c r="K172" s="2" t="n">
        <v>4.2</v>
      </c>
      <c r="L172" s="2" t="inlineStr">
        <is>
          <t>有效</t>
        </is>
      </c>
      <c r="M172" s="3" t="inlineStr"/>
      <c r="N172" s="2">
        <f>(G172-H172)/G172</f>
        <v/>
      </c>
      <c r="O172" s="2">
        <f>G172-H172</f>
        <v/>
      </c>
    </row>
    <row r="173">
      <c r="A173" s="2" t="n">
        <v>173</v>
      </c>
      <c r="B173" s="2" t="inlineStr">
        <is>
          <t>OD00172</t>
        </is>
      </c>
      <c r="C173" s="2" t="inlineStr">
        <is>
          <t>2026-05-17</t>
        </is>
      </c>
      <c r="D173" s="2" t="inlineStr">
        <is>
          <t>合肥</t>
        </is>
      </c>
      <c r="E173" s="2" t="inlineStr">
        <is>
          <t>外卖平台</t>
        </is>
      </c>
      <c r="F173" s="2" t="inlineStr">
        <is>
          <t>轻食</t>
        </is>
      </c>
      <c r="G173" s="2" t="n">
        <v>672</v>
      </c>
      <c r="H173" s="2" t="n">
        <v>296</v>
      </c>
      <c r="I173" s="2" t="n">
        <v>18</v>
      </c>
      <c r="J173" s="2" t="inlineStr">
        <is>
          <t>否</t>
        </is>
      </c>
      <c r="K173" s="2" t="n">
        <v>4.9</v>
      </c>
      <c r="L173" s="2" t="inlineStr">
        <is>
          <t>有效</t>
        </is>
      </c>
      <c r="M173" s="3" t="inlineStr"/>
      <c r="N173" s="2">
        <f>(G173-H173)/G173</f>
        <v/>
      </c>
      <c r="O173" s="2">
        <f>G173-H173</f>
        <v/>
      </c>
    </row>
    <row r="174">
      <c r="A174" s="2" t="n">
        <v>174</v>
      </c>
      <c r="B174" s="2" t="inlineStr">
        <is>
          <t>OD00173</t>
        </is>
      </c>
      <c r="C174" s="2" t="inlineStr">
        <is>
          <t>2026-06-24</t>
        </is>
      </c>
      <c r="D174" s="2" t="inlineStr">
        <is>
          <t>合肥</t>
        </is>
      </c>
      <c r="E174" s="2" t="inlineStr">
        <is>
          <t>外卖平台</t>
        </is>
      </c>
      <c r="F174" s="2" t="inlineStr">
        <is>
          <t>咖啡</t>
        </is>
      </c>
      <c r="G174" s="2" t="n">
        <v>144</v>
      </c>
      <c r="H174" s="2" t="n">
        <v>73</v>
      </c>
      <c r="I174" s="2" t="n">
        <v>55</v>
      </c>
      <c r="J174" s="2" t="inlineStr">
        <is>
          <t>否</t>
        </is>
      </c>
      <c r="K174" s="2" t="n">
        <v>4.8</v>
      </c>
      <c r="L174" s="2" t="inlineStr">
        <is>
          <t>有效</t>
        </is>
      </c>
      <c r="M174" s="3" t="inlineStr"/>
      <c r="N174" s="2">
        <f>(G174-H174)/G174</f>
        <v/>
      </c>
      <c r="O174" s="2">
        <f>G174-H174</f>
        <v/>
      </c>
    </row>
    <row r="175">
      <c r="A175" s="2" t="n">
        <v>175</v>
      </c>
      <c r="B175" s="2" t="inlineStr">
        <is>
          <t>OD00174</t>
        </is>
      </c>
      <c r="C175" s="2" t="inlineStr">
        <is>
          <t>2026-07-04</t>
        </is>
      </c>
      <c r="D175" s="2" t="inlineStr">
        <is>
          <t>合肥</t>
        </is>
      </c>
      <c r="E175" s="2" t="inlineStr">
        <is>
          <t>门店</t>
        </is>
      </c>
      <c r="F175" s="2" t="inlineStr">
        <is>
          <t>轻食</t>
        </is>
      </c>
      <c r="G175" s="2" t="n">
        <v>60</v>
      </c>
      <c r="H175" s="2" t="n">
        <v>33</v>
      </c>
      <c r="I175" s="2" t="n">
        <v>30</v>
      </c>
      <c r="J175" s="2" t="inlineStr">
        <is>
          <t>否</t>
        </is>
      </c>
      <c r="K175" s="2" t="n">
        <v>4</v>
      </c>
      <c r="L175" s="2" t="inlineStr">
        <is>
          <t>有效</t>
        </is>
      </c>
      <c r="M175" s="3" t="inlineStr"/>
      <c r="N175" s="2">
        <f>(G175-H175)/G175</f>
        <v/>
      </c>
      <c r="O175" s="2">
        <f>G175-H175</f>
        <v/>
      </c>
    </row>
    <row r="176">
      <c r="A176" s="2" t="n">
        <v>176</v>
      </c>
      <c r="B176" s="2" t="inlineStr">
        <is>
          <t>OD00175</t>
        </is>
      </c>
      <c r="C176" s="2" t="inlineStr">
        <is>
          <t>2026-08-11</t>
        </is>
      </c>
      <c r="D176" s="2" t="inlineStr">
        <is>
          <t>苏州</t>
        </is>
      </c>
      <c r="E176" s="2" t="inlineStr">
        <is>
          <t>外卖平台</t>
        </is>
      </c>
      <c r="F176" s="2" t="inlineStr">
        <is>
          <t>周边</t>
        </is>
      </c>
      <c r="G176" s="2" t="n">
        <v>432</v>
      </c>
      <c r="H176" s="2" t="n">
        <v>201</v>
      </c>
      <c r="I176" s="2" t="n">
        <v>38</v>
      </c>
      <c r="J176" s="2" t="inlineStr">
        <is>
          <t>否</t>
        </is>
      </c>
      <c r="K176" s="2" t="n">
        <v>4.7</v>
      </c>
      <c r="L176" s="2" t="inlineStr">
        <is>
          <t>有效</t>
        </is>
      </c>
      <c r="M176" s="3" t="inlineStr"/>
      <c r="N176" s="2">
        <f>(G176-H176)/G176</f>
        <v/>
      </c>
      <c r="O176" s="2">
        <f>G176-H176</f>
        <v/>
      </c>
    </row>
    <row r="177">
      <c r="A177" s="2" t="n">
        <v>177</v>
      </c>
      <c r="B177" s="2" t="inlineStr">
        <is>
          <t>OD00176</t>
        </is>
      </c>
      <c r="C177" s="2" t="inlineStr">
        <is>
          <t>2026-09-18</t>
        </is>
      </c>
      <c r="D177" s="2" t="inlineStr">
        <is>
          <t>宁波</t>
        </is>
      </c>
      <c r="E177" s="2" t="inlineStr">
        <is>
          <t>小程序</t>
        </is>
      </c>
      <c r="F177" s="2" t="inlineStr">
        <is>
          <t>轻食</t>
        </is>
      </c>
      <c r="G177" s="2" t="n">
        <v>235</v>
      </c>
      <c r="H177" s="2" t="n">
        <v>124</v>
      </c>
      <c r="I177" s="2" t="n">
        <v>83</v>
      </c>
      <c r="J177" s="2" t="inlineStr">
        <is>
          <t>否</t>
        </is>
      </c>
      <c r="K177" s="2" t="n">
        <v>4.2</v>
      </c>
      <c r="L177" s="2" t="inlineStr">
        <is>
          <t>有效</t>
        </is>
      </c>
      <c r="M177" s="3" t="inlineStr"/>
      <c r="N177" s="2">
        <f>(G177-H177)/G177</f>
        <v/>
      </c>
      <c r="O177" s="2">
        <f>G177-H177</f>
        <v/>
      </c>
    </row>
    <row r="178">
      <c r="A178" s="2" t="n">
        <v>178</v>
      </c>
      <c r="B178" s="2" t="inlineStr">
        <is>
          <t>OD00177</t>
        </is>
      </c>
      <c r="C178" s="2" t="inlineStr">
        <is>
          <t>2026-10-25</t>
        </is>
      </c>
      <c r="D178" s="2" t="inlineStr">
        <is>
          <t>宁波</t>
        </is>
      </c>
      <c r="E178" s="2" t="inlineStr">
        <is>
          <t>小程序</t>
        </is>
      </c>
      <c r="F178" s="2" t="inlineStr">
        <is>
          <t>轻食</t>
        </is>
      </c>
      <c r="G178" s="2" t="n">
        <v>113</v>
      </c>
      <c r="H178" s="2" t="n">
        <v>49</v>
      </c>
      <c r="I178" s="2" t="n">
        <v>71</v>
      </c>
      <c r="J178" s="2" t="inlineStr">
        <is>
          <t>否</t>
        </is>
      </c>
      <c r="K178" s="2" t="n">
        <v>4.4</v>
      </c>
      <c r="L178" s="2" t="inlineStr">
        <is>
          <t>有效</t>
        </is>
      </c>
      <c r="M178" s="3" t="inlineStr"/>
      <c r="N178" s="2">
        <f>(G178-H178)/G178</f>
        <v/>
      </c>
      <c r="O178" s="2">
        <f>G178-H178</f>
        <v/>
      </c>
    </row>
    <row r="179">
      <c r="A179" s="2" t="n">
        <v>179</v>
      </c>
      <c r="B179" s="2" t="inlineStr">
        <is>
          <t>OD00178</t>
        </is>
      </c>
      <c r="C179" s="2" t="inlineStr">
        <is>
          <t>2026-11-05</t>
        </is>
      </c>
      <c r="D179" s="2" t="inlineStr">
        <is>
          <t>合肥</t>
        </is>
      </c>
      <c r="E179" s="2" t="inlineStr">
        <is>
          <t>小程序</t>
        </is>
      </c>
      <c r="F179" s="2" t="inlineStr">
        <is>
          <t>周边</t>
        </is>
      </c>
      <c r="G179" s="2" t="n">
        <v>363</v>
      </c>
      <c r="H179" s="2" t="n">
        <v>198</v>
      </c>
      <c r="I179" s="2" t="n">
        <v>85</v>
      </c>
      <c r="J179" s="2" t="inlineStr">
        <is>
          <t>否</t>
        </is>
      </c>
      <c r="K179" s="2" t="n">
        <v>3.7</v>
      </c>
      <c r="L179" s="2" t="inlineStr">
        <is>
          <t>有效</t>
        </is>
      </c>
      <c r="M179" s="3" t="inlineStr"/>
      <c r="N179" s="2">
        <f>(G179-H179)/G179</f>
        <v/>
      </c>
      <c r="O179" s="2">
        <f>G179-H179</f>
        <v/>
      </c>
    </row>
    <row r="180">
      <c r="A180" s="2" t="n">
        <v>180</v>
      </c>
      <c r="B180" s="2" t="inlineStr">
        <is>
          <t>OD00179</t>
        </is>
      </c>
      <c r="C180" s="2" t="inlineStr">
        <is>
          <t>2026-12-12</t>
        </is>
      </c>
      <c r="D180" s="2" t="inlineStr">
        <is>
          <t>宁波</t>
        </is>
      </c>
      <c r="E180" s="2" t="inlineStr">
        <is>
          <t>企业团购</t>
        </is>
      </c>
      <c r="F180" s="2" t="inlineStr">
        <is>
          <t>茶饮</t>
        </is>
      </c>
      <c r="G180" s="2" t="n">
        <v>206</v>
      </c>
      <c r="H180" s="2" t="n">
        <v>108</v>
      </c>
      <c r="I180" s="2" t="n">
        <v>81</v>
      </c>
      <c r="J180" s="2" t="inlineStr">
        <is>
          <t>否</t>
        </is>
      </c>
      <c r="K180" s="2" t="n">
        <v>3.3</v>
      </c>
      <c r="L180" s="2" t="inlineStr">
        <is>
          <t>有效</t>
        </is>
      </c>
      <c r="M180" s="3" t="inlineStr"/>
      <c r="N180" s="2">
        <f>(G180-H180)/G180</f>
        <v/>
      </c>
      <c r="O180" s="2">
        <f>G180-H180</f>
        <v/>
      </c>
    </row>
    <row r="181">
      <c r="A181" s="2" t="n">
        <v>181</v>
      </c>
      <c r="B181" s="2" t="inlineStr">
        <is>
          <t>OD00180</t>
        </is>
      </c>
      <c r="C181" s="2" t="inlineStr">
        <is>
          <t>2026-01-19</t>
        </is>
      </c>
      <c r="D181" s="2" t="inlineStr">
        <is>
          <t>南京</t>
        </is>
      </c>
      <c r="E181" s="2" t="inlineStr">
        <is>
          <t>外卖平台</t>
        </is>
      </c>
      <c r="F181" s="2" t="inlineStr">
        <is>
          <t>周边</t>
        </is>
      </c>
      <c r="G181" s="2" t="n">
        <v>429</v>
      </c>
      <c r="H181" s="2" t="n">
        <v>217</v>
      </c>
      <c r="I181" s="2" t="n">
        <v>28</v>
      </c>
      <c r="J181" s="2" t="inlineStr">
        <is>
          <t>是</t>
        </is>
      </c>
      <c r="K181" s="2" t="n">
        <v>4.1</v>
      </c>
      <c r="L181" s="2" t="inlineStr">
        <is>
          <t>有效</t>
        </is>
      </c>
      <c r="M181" s="3" t="inlineStr"/>
      <c r="N181" s="2">
        <f>(G181-H181)/G181</f>
        <v/>
      </c>
      <c r="O181" s="2">
        <f>G181-H181</f>
        <v/>
      </c>
    </row>
    <row r="182">
      <c r="A182" s="2" t="n">
        <v>182</v>
      </c>
      <c r="B182" s="2" t="inlineStr">
        <is>
          <t>OD00181</t>
        </is>
      </c>
      <c r="C182" s="2" t="inlineStr">
        <is>
          <t>2026-02-26</t>
        </is>
      </c>
      <c r="D182" s="2" t="inlineStr">
        <is>
          <t>上海</t>
        </is>
      </c>
      <c r="E182" s="2" t="inlineStr">
        <is>
          <t>门店</t>
        </is>
      </c>
      <c r="F182" s="2" t="inlineStr">
        <is>
          <t>轻食</t>
        </is>
      </c>
      <c r="G182" s="2" t="n">
        <v>214</v>
      </c>
      <c r="H182" s="2" t="n">
        <v>139</v>
      </c>
      <c r="I182" s="2" t="n">
        <v>21</v>
      </c>
      <c r="J182" s="2" t="inlineStr">
        <is>
          <t>否</t>
        </is>
      </c>
      <c r="K182" s="2" t="n">
        <v>4</v>
      </c>
      <c r="L182" s="2" t="inlineStr">
        <is>
          <t>有效</t>
        </is>
      </c>
      <c r="M182" s="3" t="inlineStr"/>
      <c r="N182" s="2">
        <f>(G182-H182)/G182</f>
        <v/>
      </c>
      <c r="O182" s="2">
        <f>G182-H182</f>
        <v/>
      </c>
    </row>
    <row r="183">
      <c r="A183" s="2" t="n">
        <v>183</v>
      </c>
      <c r="B183" s="2" t="inlineStr">
        <is>
          <t>OD00182</t>
        </is>
      </c>
      <c r="C183" s="2" t="inlineStr">
        <is>
          <t>2026-03-06</t>
        </is>
      </c>
      <c r="D183" s="2" t="inlineStr">
        <is>
          <t>合肥</t>
        </is>
      </c>
      <c r="E183" s="2" t="inlineStr">
        <is>
          <t>企业团购</t>
        </is>
      </c>
      <c r="F183" s="2" t="inlineStr">
        <is>
          <t>咖啡</t>
        </is>
      </c>
      <c r="G183" s="2" t="n">
        <v>416</v>
      </c>
      <c r="H183" s="2" t="n">
        <v>279</v>
      </c>
      <c r="I183" s="2" t="n">
        <v>37</v>
      </c>
      <c r="J183" s="2" t="inlineStr">
        <is>
          <t>否</t>
        </is>
      </c>
      <c r="K183" s="2" t="n">
        <v>4.2</v>
      </c>
      <c r="L183" s="2" t="inlineStr">
        <is>
          <t>有效</t>
        </is>
      </c>
      <c r="M183" s="3" t="inlineStr"/>
      <c r="N183" s="2">
        <f>(G183-H183)/G183</f>
        <v/>
      </c>
      <c r="O183" s="2">
        <f>G183-H183</f>
        <v/>
      </c>
    </row>
    <row r="184">
      <c r="A184" s="2" t="n">
        <v>184</v>
      </c>
      <c r="B184" s="2" t="inlineStr">
        <is>
          <t>OD00183</t>
        </is>
      </c>
      <c r="C184" s="2" t="inlineStr">
        <is>
          <t>2026-04-13</t>
        </is>
      </c>
      <c r="D184" s="2" t="inlineStr">
        <is>
          <t>南京</t>
        </is>
      </c>
      <c r="E184" s="2" t="inlineStr">
        <is>
          <t>小程序</t>
        </is>
      </c>
      <c r="F184" s="2" t="inlineStr">
        <is>
          <t>轻食</t>
        </is>
      </c>
      <c r="G184" s="2" t="n">
        <v>482</v>
      </c>
      <c r="H184" s="2" t="n">
        <v>262</v>
      </c>
      <c r="I184" s="2" t="n">
        <v>22</v>
      </c>
      <c r="J184" s="2" t="inlineStr">
        <is>
          <t>否</t>
        </is>
      </c>
      <c r="K184" s="2" t="n">
        <v>3.2</v>
      </c>
      <c r="L184" s="2" t="inlineStr">
        <is>
          <t>有效</t>
        </is>
      </c>
      <c r="M184" s="3" t="inlineStr"/>
      <c r="N184" s="2">
        <f>(G184-H184)/G184</f>
        <v/>
      </c>
      <c r="O184" s="2">
        <f>G184-H184</f>
        <v/>
      </c>
    </row>
    <row r="185">
      <c r="A185" s="2" t="n">
        <v>185</v>
      </c>
      <c r="B185" s="2" t="inlineStr">
        <is>
          <t>OD00184</t>
        </is>
      </c>
      <c r="C185" s="2" t="inlineStr">
        <is>
          <t>2026-05-20</t>
        </is>
      </c>
      <c r="D185" s="2" t="inlineStr">
        <is>
          <t>宁波</t>
        </is>
      </c>
      <c r="E185" s="2" t="inlineStr">
        <is>
          <t>企业团购</t>
        </is>
      </c>
      <c r="F185" s="2" t="inlineStr">
        <is>
          <t>咖啡</t>
        </is>
      </c>
      <c r="G185" s="2" t="n">
        <v>470</v>
      </c>
      <c r="H185" s="2" t="n">
        <v>303</v>
      </c>
      <c r="I185" s="2" t="n">
        <v>14</v>
      </c>
      <c r="J185" s="2" t="inlineStr">
        <is>
          <t>否</t>
        </is>
      </c>
      <c r="K185" s="2" t="n">
        <v>4.3</v>
      </c>
      <c r="L185" s="2" t="inlineStr">
        <is>
          <t>有效</t>
        </is>
      </c>
      <c r="M185" s="3" t="inlineStr"/>
      <c r="N185" s="2">
        <f>(G185-H185)/G185</f>
        <v/>
      </c>
      <c r="O185" s="2">
        <f>G185-H185</f>
        <v/>
      </c>
    </row>
    <row r="186">
      <c r="A186" s="2" t="n">
        <v>186</v>
      </c>
      <c r="B186" s="2" t="inlineStr">
        <is>
          <t>OD00185</t>
        </is>
      </c>
      <c r="C186" s="2" t="inlineStr">
        <is>
          <t>2026-06-27</t>
        </is>
      </c>
      <c r="D186" s="2" t="inlineStr">
        <is>
          <t>苏州</t>
        </is>
      </c>
      <c r="E186" s="2" t="inlineStr">
        <is>
          <t>外卖平台</t>
        </is>
      </c>
      <c r="F186" s="2" t="inlineStr">
        <is>
          <t>咖啡</t>
        </is>
      </c>
      <c r="G186" s="2" t="n">
        <v>351</v>
      </c>
      <c r="H186" s="2" t="n">
        <v>260</v>
      </c>
      <c r="I186" s="2" t="n">
        <v>68</v>
      </c>
      <c r="J186" s="2" t="inlineStr">
        <is>
          <t>否</t>
        </is>
      </c>
      <c r="K186" s="2" t="n">
        <v>3.4</v>
      </c>
      <c r="L186" s="2" t="inlineStr">
        <is>
          <t>有效</t>
        </is>
      </c>
      <c r="M186" s="3" t="inlineStr"/>
      <c r="N186" s="2">
        <f>(G186-H186)/G186</f>
        <v/>
      </c>
      <c r="O186" s="2">
        <f>G186-H186</f>
        <v/>
      </c>
    </row>
    <row r="187">
      <c r="A187" s="2" t="n">
        <v>187</v>
      </c>
      <c r="B187" s="2" t="inlineStr">
        <is>
          <t>OD00186</t>
        </is>
      </c>
      <c r="C187" s="2" t="inlineStr">
        <is>
          <t>2026-07-07</t>
        </is>
      </c>
      <c r="D187" s="2" t="inlineStr">
        <is>
          <t>宁波</t>
        </is>
      </c>
      <c r="E187" s="2" t="inlineStr">
        <is>
          <t>小程序</t>
        </is>
      </c>
      <c r="F187" s="2" t="inlineStr">
        <is>
          <t>茶饮</t>
        </is>
      </c>
      <c r="G187" s="2" t="n">
        <v>432</v>
      </c>
      <c r="H187" s="2" t="n">
        <v>199</v>
      </c>
      <c r="I187" s="2" t="n">
        <v>38</v>
      </c>
      <c r="J187" s="2" t="inlineStr">
        <is>
          <t>否</t>
        </is>
      </c>
      <c r="K187" s="2" t="n">
        <v>4.5</v>
      </c>
      <c r="L187" s="2" t="inlineStr">
        <is>
          <t>有效</t>
        </is>
      </c>
      <c r="M187" s="3" t="inlineStr"/>
      <c r="N187" s="2">
        <f>(G187-H187)/G187</f>
        <v/>
      </c>
      <c r="O187" s="2">
        <f>G187-H187</f>
        <v/>
      </c>
    </row>
    <row r="188">
      <c r="A188" s="2" t="n">
        <v>188</v>
      </c>
      <c r="B188" s="2" t="inlineStr">
        <is>
          <t>OD00187</t>
        </is>
      </c>
      <c r="C188" s="2" t="inlineStr">
        <is>
          <t>2026-08-14</t>
        </is>
      </c>
      <c r="D188" s="2" t="inlineStr">
        <is>
          <t>苏州</t>
        </is>
      </c>
      <c r="E188" s="2" t="inlineStr">
        <is>
          <t>门店</t>
        </is>
      </c>
      <c r="F188" s="2" t="inlineStr">
        <is>
          <t>咖啡</t>
        </is>
      </c>
      <c r="G188" s="2" t="n">
        <v>433</v>
      </c>
      <c r="H188" s="2" t="n">
        <v>236</v>
      </c>
      <c r="I188" s="2" t="n">
        <v>14</v>
      </c>
      <c r="J188" s="2" t="inlineStr">
        <is>
          <t>否</t>
        </is>
      </c>
      <c r="K188" s="2" t="n">
        <v>3.4</v>
      </c>
      <c r="L188" s="2" t="inlineStr">
        <is>
          <t>有效</t>
        </is>
      </c>
      <c r="M188" s="3" t="inlineStr"/>
      <c r="N188" s="2">
        <f>(G188-H188)/G188</f>
        <v/>
      </c>
      <c r="O188" s="2">
        <f>G188-H188</f>
        <v/>
      </c>
    </row>
    <row r="189">
      <c r="A189" s="2" t="n">
        <v>189</v>
      </c>
      <c r="B189" s="2" t="inlineStr">
        <is>
          <t>OD00188</t>
        </is>
      </c>
      <c r="C189" s="2" t="inlineStr">
        <is>
          <t>2026-09-21</t>
        </is>
      </c>
      <c r="D189" s="2" t="inlineStr">
        <is>
          <t>苏州</t>
        </is>
      </c>
      <c r="E189" s="2" t="inlineStr">
        <is>
          <t>企业团购</t>
        </is>
      </c>
      <c r="F189" s="2" t="inlineStr">
        <is>
          <t>茶饮</t>
        </is>
      </c>
      <c r="G189" s="2" t="n">
        <v>399</v>
      </c>
      <c r="H189" s="2" t="n">
        <v>283</v>
      </c>
      <c r="I189" s="2" t="n">
        <v>89</v>
      </c>
      <c r="J189" s="2" t="inlineStr">
        <is>
          <t>否</t>
        </is>
      </c>
      <c r="K189" s="2" t="n">
        <v>4</v>
      </c>
      <c r="L189" s="2" t="inlineStr">
        <is>
          <t>有效</t>
        </is>
      </c>
      <c r="M189" s="3" t="inlineStr"/>
      <c r="N189" s="2">
        <f>(G189-H189)/G189</f>
        <v/>
      </c>
      <c r="O189" s="2">
        <f>G189-H189</f>
        <v/>
      </c>
    </row>
    <row r="190">
      <c r="A190" s="2" t="n">
        <v>190</v>
      </c>
      <c r="B190" s="2" t="inlineStr">
        <is>
          <t>OD00189</t>
        </is>
      </c>
      <c r="C190" s="2" t="inlineStr">
        <is>
          <t>2026-10-01</t>
        </is>
      </c>
      <c r="D190" s="2" t="inlineStr">
        <is>
          <t>合肥</t>
        </is>
      </c>
      <c r="E190" s="2" t="inlineStr">
        <is>
          <t>企业团购</t>
        </is>
      </c>
      <c r="F190" s="2" t="inlineStr">
        <is>
          <t>周边</t>
        </is>
      </c>
      <c r="G190" s="2" t="n">
        <v>102</v>
      </c>
      <c r="H190" s="2" t="n">
        <v>47</v>
      </c>
      <c r="I190" s="2" t="n">
        <v>77</v>
      </c>
      <c r="J190" s="2" t="inlineStr">
        <is>
          <t>是</t>
        </is>
      </c>
      <c r="K190" s="2" t="n">
        <v>4.3</v>
      </c>
      <c r="L190" s="2" t="inlineStr">
        <is>
          <t>有效</t>
        </is>
      </c>
      <c r="M190" s="3" t="inlineStr"/>
      <c r="N190" s="2">
        <f>(G190-H190)/G190</f>
        <v/>
      </c>
      <c r="O190" s="2">
        <f>G190-H190</f>
        <v/>
      </c>
    </row>
    <row r="191">
      <c r="A191" s="2" t="n">
        <v>191</v>
      </c>
      <c r="B191" s="2" t="inlineStr">
        <is>
          <t>OD00190</t>
        </is>
      </c>
      <c r="C191" s="2" t="inlineStr">
        <is>
          <t>2026-11-08</t>
        </is>
      </c>
      <c r="D191" s="2" t="inlineStr">
        <is>
          <t>上海</t>
        </is>
      </c>
      <c r="E191" s="2" t="inlineStr">
        <is>
          <t>门店</t>
        </is>
      </c>
      <c r="F191" s="2" t="inlineStr">
        <is>
          <t>周边</t>
        </is>
      </c>
      <c r="G191" s="2" t="n">
        <v>162</v>
      </c>
      <c r="H191" s="2" t="n">
        <v>117</v>
      </c>
      <c r="I191" s="2" t="n">
        <v>91</v>
      </c>
      <c r="J191" s="2" t="inlineStr">
        <is>
          <t>否</t>
        </is>
      </c>
      <c r="K191" s="2" t="n">
        <v>3.5</v>
      </c>
      <c r="L191" s="2" t="inlineStr">
        <is>
          <t>有效</t>
        </is>
      </c>
      <c r="M191" s="3" t="inlineStr"/>
      <c r="N191" s="2">
        <f>(G191-H191)/G191</f>
        <v/>
      </c>
      <c r="O191" s="2">
        <f>G191-H191</f>
        <v/>
      </c>
    </row>
    <row r="192">
      <c r="A192" s="2" t="n">
        <v>192</v>
      </c>
      <c r="B192" s="2" t="inlineStr">
        <is>
          <t>OD00191</t>
        </is>
      </c>
      <c r="C192" s="2" t="inlineStr">
        <is>
          <t>2026-12-15</t>
        </is>
      </c>
      <c r="D192" s="2" t="inlineStr">
        <is>
          <t>杭州</t>
        </is>
      </c>
      <c r="E192" s="2" t="inlineStr">
        <is>
          <t>小程序</t>
        </is>
      </c>
      <c r="F192" s="2" t="inlineStr">
        <is>
          <t>烘焙</t>
        </is>
      </c>
      <c r="G192" s="2" t="n">
        <v>616</v>
      </c>
      <c r="H192" s="2" t="n">
        <v>385</v>
      </c>
      <c r="I192" s="2" t="n">
        <v>12</v>
      </c>
      <c r="J192" s="2" t="inlineStr">
        <is>
          <t>否</t>
        </is>
      </c>
      <c r="K192" s="2" t="n">
        <v>4.7</v>
      </c>
      <c r="L192" s="2" t="inlineStr">
        <is>
          <t>有效</t>
        </is>
      </c>
      <c r="M192" s="3" t="inlineStr"/>
      <c r="N192" s="2">
        <f>(G192-H192)/G192</f>
        <v/>
      </c>
      <c r="O192" s="2">
        <f>G192-H192</f>
        <v/>
      </c>
    </row>
    <row r="193">
      <c r="A193" s="2" t="n">
        <v>193</v>
      </c>
      <c r="B193" s="2" t="inlineStr">
        <is>
          <t>OD00192</t>
        </is>
      </c>
      <c r="C193" s="2" t="inlineStr">
        <is>
          <t>2026-01-22</t>
        </is>
      </c>
      <c r="D193" s="2" t="inlineStr">
        <is>
          <t>苏州</t>
        </is>
      </c>
      <c r="E193" s="2" t="inlineStr">
        <is>
          <t>外卖平台</t>
        </is>
      </c>
      <c r="F193" s="2" t="inlineStr">
        <is>
          <t>周边</t>
        </is>
      </c>
      <c r="G193" s="2" t="n">
        <v>71</v>
      </c>
      <c r="H193" s="2" t="n">
        <v>40</v>
      </c>
      <c r="I193" s="2" t="n">
        <v>12</v>
      </c>
      <c r="J193" s="2" t="inlineStr">
        <is>
          <t>是</t>
        </is>
      </c>
      <c r="K193" s="2" t="n">
        <v>3.3</v>
      </c>
      <c r="L193" s="2" t="inlineStr">
        <is>
          <t>有效</t>
        </is>
      </c>
      <c r="M193" s="3" t="inlineStr"/>
      <c r="N193" s="2">
        <f>(G193-H193)/G193</f>
        <v/>
      </c>
      <c r="O193" s="2">
        <f>G193-H193</f>
        <v/>
      </c>
    </row>
    <row r="194">
      <c r="A194" s="2" t="n">
        <v>194</v>
      </c>
      <c r="B194" s="2" t="inlineStr">
        <is>
          <t>OD00193</t>
        </is>
      </c>
      <c r="C194" s="2" t="inlineStr">
        <is>
          <t>2026-02-02</t>
        </is>
      </c>
      <c r="D194" s="2" t="inlineStr">
        <is>
          <t>杭州</t>
        </is>
      </c>
      <c r="E194" s="2" t="inlineStr">
        <is>
          <t>小程序</t>
        </is>
      </c>
      <c r="F194" s="2" t="inlineStr">
        <is>
          <t>周边</t>
        </is>
      </c>
      <c r="G194" s="2" t="n">
        <v>538</v>
      </c>
      <c r="H194" s="2" t="n">
        <v>358</v>
      </c>
      <c r="I194" s="2" t="n">
        <v>74</v>
      </c>
      <c r="J194" s="2" t="inlineStr">
        <is>
          <t>是</t>
        </is>
      </c>
      <c r="K194" s="2" t="n">
        <v>3.2</v>
      </c>
      <c r="L194" s="2" t="inlineStr">
        <is>
          <t>有效</t>
        </is>
      </c>
      <c r="M194" s="3" t="inlineStr"/>
      <c r="N194" s="2">
        <f>(G194-H194)/G194</f>
        <v/>
      </c>
      <c r="O194" s="2">
        <f>G194-H194</f>
        <v/>
      </c>
    </row>
    <row r="195">
      <c r="A195" s="2" t="n">
        <v>195</v>
      </c>
      <c r="B195" s="2" t="inlineStr">
        <is>
          <t>OD00194</t>
        </is>
      </c>
      <c r="C195" s="2" t="inlineStr">
        <is>
          <t>2026-03-09</t>
        </is>
      </c>
      <c r="D195" s="2" t="inlineStr">
        <is>
          <t>合肥</t>
        </is>
      </c>
      <c r="E195" s="2" t="inlineStr">
        <is>
          <t>外卖平台</t>
        </is>
      </c>
      <c r="F195" s="2" t="inlineStr">
        <is>
          <t>咖啡</t>
        </is>
      </c>
      <c r="G195" s="2" t="n">
        <v>436</v>
      </c>
      <c r="H195" s="2" t="n">
        <v>316</v>
      </c>
      <c r="I195" s="2" t="n">
        <v>29</v>
      </c>
      <c r="J195" s="2" t="inlineStr">
        <is>
          <t>否</t>
        </is>
      </c>
      <c r="K195" s="2" t="n">
        <v>4.1</v>
      </c>
      <c r="L195" s="2" t="inlineStr">
        <is>
          <t>有效</t>
        </is>
      </c>
      <c r="M195" s="3" t="inlineStr"/>
      <c r="N195" s="2">
        <f>(G195-H195)/G195</f>
        <v/>
      </c>
      <c r="O195" s="2">
        <f>G195-H195</f>
        <v/>
      </c>
    </row>
    <row r="196">
      <c r="A196" s="2" t="n">
        <v>196</v>
      </c>
      <c r="B196" s="2" t="inlineStr">
        <is>
          <t>OD00195</t>
        </is>
      </c>
      <c r="C196" s="2" t="inlineStr">
        <is>
          <t>2026-04-16</t>
        </is>
      </c>
      <c r="D196" s="2" t="inlineStr">
        <is>
          <t>合肥</t>
        </is>
      </c>
      <c r="E196" s="2" t="inlineStr">
        <is>
          <t>小程序</t>
        </is>
      </c>
      <c r="F196" s="2" t="inlineStr">
        <is>
          <t>咖啡</t>
        </is>
      </c>
      <c r="G196" s="2" t="n">
        <v>358</v>
      </c>
      <c r="H196" s="2" t="n">
        <v>227</v>
      </c>
      <c r="I196" s="2" t="n">
        <v>88</v>
      </c>
      <c r="J196" s="2" t="inlineStr">
        <is>
          <t>否</t>
        </is>
      </c>
      <c r="K196" s="2" t="n">
        <v>4.5</v>
      </c>
      <c r="L196" s="2" t="inlineStr">
        <is>
          <t>有效</t>
        </is>
      </c>
      <c r="M196" s="3" t="inlineStr"/>
      <c r="N196" s="2">
        <f>(G196-H196)/G196</f>
        <v/>
      </c>
      <c r="O196" s="2">
        <f>G196-H196</f>
        <v/>
      </c>
    </row>
    <row r="197">
      <c r="A197" s="2" t="n">
        <v>197</v>
      </c>
      <c r="B197" s="2" t="inlineStr">
        <is>
          <t>OD00196</t>
        </is>
      </c>
      <c r="C197" s="2" t="inlineStr">
        <is>
          <t>2026-05-23</t>
        </is>
      </c>
      <c r="D197" s="2" t="inlineStr">
        <is>
          <t>上海</t>
        </is>
      </c>
      <c r="E197" s="2" t="inlineStr">
        <is>
          <t>门店</t>
        </is>
      </c>
      <c r="F197" s="2" t="inlineStr">
        <is>
          <t>咖啡</t>
        </is>
      </c>
      <c r="G197" s="2" t="n">
        <v>48</v>
      </c>
      <c r="H197" s="2" t="n">
        <v>34</v>
      </c>
      <c r="I197" s="2" t="n">
        <v>78</v>
      </c>
      <c r="J197" s="2" t="inlineStr">
        <is>
          <t>否</t>
        </is>
      </c>
      <c r="K197" s="2" t="n">
        <v>4.9</v>
      </c>
      <c r="L197" s="2" t="inlineStr">
        <is>
          <t>有效</t>
        </is>
      </c>
      <c r="M197" s="3" t="inlineStr"/>
      <c r="N197" s="2">
        <f>(G197-H197)/G197</f>
        <v/>
      </c>
      <c r="O197" s="2">
        <f>G197-H197</f>
        <v/>
      </c>
    </row>
    <row r="198">
      <c r="A198" s="2" t="n">
        <v>198</v>
      </c>
      <c r="B198" s="2" t="inlineStr">
        <is>
          <t>OD00197</t>
        </is>
      </c>
      <c r="C198" s="2" t="inlineStr">
        <is>
          <t>2026-06-03</t>
        </is>
      </c>
      <c r="D198" s="2" t="inlineStr">
        <is>
          <t>苏州</t>
        </is>
      </c>
      <c r="E198" s="2" t="inlineStr">
        <is>
          <t>门店</t>
        </is>
      </c>
      <c r="F198" s="2" t="inlineStr">
        <is>
          <t>轻食</t>
        </is>
      </c>
      <c r="G198" s="2" t="n">
        <v>515</v>
      </c>
      <c r="H198" s="2" t="n">
        <v>389</v>
      </c>
      <c r="I198" s="2" t="n">
        <v>50</v>
      </c>
      <c r="J198" s="2" t="inlineStr">
        <is>
          <t>否</t>
        </is>
      </c>
      <c r="K198" s="2" t="n">
        <v>4.1</v>
      </c>
      <c r="L198" s="2" t="inlineStr">
        <is>
          <t>有效</t>
        </is>
      </c>
      <c r="M198" s="3" t="inlineStr"/>
      <c r="N198" s="2">
        <f>(G198-H198)/G198</f>
        <v/>
      </c>
      <c r="O198" s="2">
        <f>G198-H198</f>
        <v/>
      </c>
    </row>
    <row r="199">
      <c r="A199" s="2" t="n">
        <v>199</v>
      </c>
      <c r="B199" s="2" t="inlineStr">
        <is>
          <t>OD00198</t>
        </is>
      </c>
      <c r="C199" s="2" t="inlineStr">
        <is>
          <t>2026-07-10</t>
        </is>
      </c>
      <c r="D199" s="2" t="inlineStr">
        <is>
          <t>苏州</t>
        </is>
      </c>
      <c r="E199" s="2" t="inlineStr">
        <is>
          <t>门店</t>
        </is>
      </c>
      <c r="F199" s="2" t="inlineStr">
        <is>
          <t>烘焙</t>
        </is>
      </c>
      <c r="G199" s="2" t="n">
        <v>515</v>
      </c>
      <c r="H199" s="2" t="n">
        <v>259</v>
      </c>
      <c r="I199" s="2" t="n">
        <v>63</v>
      </c>
      <c r="J199" s="2" t="inlineStr">
        <is>
          <t>否</t>
        </is>
      </c>
      <c r="K199" s="2" t="n">
        <v>4.9</v>
      </c>
      <c r="L199" s="2" t="inlineStr">
        <is>
          <t>有效</t>
        </is>
      </c>
      <c r="M199" s="3" t="inlineStr"/>
      <c r="N199" s="2">
        <f>(G199-H199)/G199</f>
        <v/>
      </c>
      <c r="O199" s="2">
        <f>G199-H199</f>
        <v/>
      </c>
    </row>
    <row r="200">
      <c r="A200" s="2" t="n">
        <v>200</v>
      </c>
      <c r="B200" s="2" t="inlineStr">
        <is>
          <t>OD00199</t>
        </is>
      </c>
      <c r="C200" s="2" t="inlineStr">
        <is>
          <t>2026-08-17</t>
        </is>
      </c>
      <c r="D200" s="2" t="inlineStr">
        <is>
          <t>合肥</t>
        </is>
      </c>
      <c r="E200" s="2" t="inlineStr">
        <is>
          <t>企业团购</t>
        </is>
      </c>
      <c r="F200" s="2" t="inlineStr">
        <is>
          <t>咖啡</t>
        </is>
      </c>
      <c r="G200" s="2" t="n">
        <v>279</v>
      </c>
      <c r="H200" s="2" t="n">
        <v>148</v>
      </c>
      <c r="I200" s="2" t="n">
        <v>94</v>
      </c>
      <c r="J200" s="2" t="inlineStr">
        <is>
          <t>否</t>
        </is>
      </c>
      <c r="K200" s="2" t="n">
        <v>3.9</v>
      </c>
      <c r="L200" s="2" t="inlineStr">
        <is>
          <t>有效</t>
        </is>
      </c>
      <c r="M200" s="3" t="inlineStr"/>
      <c r="N200" s="2">
        <f>(G200-H200)/G200</f>
        <v/>
      </c>
      <c r="O200" s="2">
        <f>G200-H200</f>
        <v/>
      </c>
    </row>
    <row r="201">
      <c r="A201" s="2" t="n">
        <v>201</v>
      </c>
      <c r="B201" s="2" t="inlineStr">
        <is>
          <t>OD00200</t>
        </is>
      </c>
      <c r="C201" s="2" t="inlineStr">
        <is>
          <t>2026-09-24</t>
        </is>
      </c>
      <c r="D201" s="2" t="inlineStr">
        <is>
          <t>杭州</t>
        </is>
      </c>
      <c r="E201" s="2" t="inlineStr">
        <is>
          <t>企业团购</t>
        </is>
      </c>
      <c r="F201" s="2" t="inlineStr">
        <is>
          <t>咖啡</t>
        </is>
      </c>
      <c r="G201" s="2" t="n">
        <v>454</v>
      </c>
      <c r="H201" s="2" t="n">
        <v>259</v>
      </c>
      <c r="I201" s="2" t="n">
        <v>82</v>
      </c>
      <c r="J201" s="2" t="inlineStr">
        <is>
          <t>否</t>
        </is>
      </c>
      <c r="K201" s="2" t="n">
        <v>4.3</v>
      </c>
      <c r="L201" s="2" t="inlineStr">
        <is>
          <t>有效</t>
        </is>
      </c>
      <c r="M201" s="3" t="inlineStr"/>
      <c r="N201" s="2">
        <f>(G201-H201)/G201</f>
        <v/>
      </c>
      <c r="O201" s="2">
        <f>G201-H201</f>
        <v/>
      </c>
    </row>
    <row r="202">
      <c r="A202" s="4" t="n">
        <v>202</v>
      </c>
      <c r="B202" s="4" t="inlineStr">
        <is>
          <t>OD00201</t>
        </is>
      </c>
      <c r="C202" s="4" t="inlineStr">
        <is>
          <t>2026-10-04</t>
        </is>
      </c>
      <c r="D202" s="4" t="inlineStr">
        <is>
          <t>上海</t>
        </is>
      </c>
      <c r="E202" s="4" t="inlineStr">
        <is>
          <t>小程序</t>
        </is>
      </c>
      <c r="F202" s="4" t="inlineStr">
        <is>
          <t>茶饮</t>
        </is>
      </c>
      <c r="G202" s="4" t="n">
        <v>323</v>
      </c>
      <c r="H202" s="4" t="n">
        <v>209</v>
      </c>
      <c r="I202" s="4" t="inlineStr"/>
      <c r="J202" s="4" t="inlineStr">
        <is>
          <t>否</t>
        </is>
      </c>
      <c r="K202" s="4" t="n">
        <v>3.2</v>
      </c>
      <c r="L202" s="4" t="inlineStr">
        <is>
          <t>异常</t>
        </is>
      </c>
      <c r="M202" s="5" t="inlineStr">
        <is>
          <t>配送时长缺失</t>
        </is>
      </c>
      <c r="N202" s="4">
        <f>(G202-H202)/G202</f>
        <v/>
      </c>
      <c r="O202" s="4">
        <f>G202-H202</f>
        <v/>
      </c>
    </row>
    <row r="203">
      <c r="A203" s="2" t="n">
        <v>203</v>
      </c>
      <c r="B203" s="2" t="inlineStr">
        <is>
          <t>OD00202</t>
        </is>
      </c>
      <c r="C203" s="2" t="inlineStr">
        <is>
          <t>2026-11-11</t>
        </is>
      </c>
      <c r="D203" s="2" t="inlineStr">
        <is>
          <t>苏州</t>
        </is>
      </c>
      <c r="E203" s="2" t="inlineStr">
        <is>
          <t>外卖平台</t>
        </is>
      </c>
      <c r="F203" s="2" t="inlineStr">
        <is>
          <t>周边</t>
        </is>
      </c>
      <c r="G203" s="2" t="n">
        <v>297</v>
      </c>
      <c r="H203" s="2" t="n">
        <v>187</v>
      </c>
      <c r="I203" s="2" t="n">
        <v>65</v>
      </c>
      <c r="J203" s="2" t="inlineStr">
        <is>
          <t>是</t>
        </is>
      </c>
      <c r="K203" s="2" t="n">
        <v>3.3</v>
      </c>
      <c r="L203" s="2" t="inlineStr">
        <is>
          <t>有效</t>
        </is>
      </c>
      <c r="M203" s="3" t="inlineStr"/>
      <c r="N203" s="2">
        <f>(G203-H203)/G203</f>
        <v/>
      </c>
      <c r="O203" s="2">
        <f>G203-H203</f>
        <v/>
      </c>
    </row>
    <row r="204">
      <c r="A204" s="2" t="n">
        <v>204</v>
      </c>
      <c r="B204" s="2" t="inlineStr">
        <is>
          <t>OD00203</t>
        </is>
      </c>
      <c r="C204" s="2" t="inlineStr">
        <is>
          <t>2026-12-18</t>
        </is>
      </c>
      <c r="D204" s="2" t="inlineStr">
        <is>
          <t>苏州</t>
        </is>
      </c>
      <c r="E204" s="2" t="inlineStr">
        <is>
          <t>小程序</t>
        </is>
      </c>
      <c r="F204" s="2" t="inlineStr">
        <is>
          <t>轻食</t>
        </is>
      </c>
      <c r="G204" s="2" t="n">
        <v>606</v>
      </c>
      <c r="H204" s="2" t="n">
        <v>395</v>
      </c>
      <c r="I204" s="2" t="n">
        <v>51</v>
      </c>
      <c r="J204" s="2" t="inlineStr">
        <is>
          <t>是</t>
        </is>
      </c>
      <c r="K204" s="2" t="n">
        <v>4.6</v>
      </c>
      <c r="L204" s="2" t="inlineStr">
        <is>
          <t>有效</t>
        </is>
      </c>
      <c r="M204" s="3" t="inlineStr"/>
      <c r="N204" s="2">
        <f>(G204-H204)/G204</f>
        <v/>
      </c>
      <c r="O204" s="2">
        <f>G204-H204</f>
        <v/>
      </c>
    </row>
    <row r="205">
      <c r="A205" s="2" t="n">
        <v>205</v>
      </c>
      <c r="B205" s="2" t="inlineStr">
        <is>
          <t>OD00204</t>
        </is>
      </c>
      <c r="C205" s="2" t="inlineStr">
        <is>
          <t>2026-01-25</t>
        </is>
      </c>
      <c r="D205" s="2" t="inlineStr">
        <is>
          <t>合肥</t>
        </is>
      </c>
      <c r="E205" s="2" t="inlineStr">
        <is>
          <t>小程序</t>
        </is>
      </c>
      <c r="F205" s="2" t="inlineStr">
        <is>
          <t>烘焙</t>
        </is>
      </c>
      <c r="G205" s="2" t="n">
        <v>385</v>
      </c>
      <c r="H205" s="2" t="n">
        <v>238</v>
      </c>
      <c r="I205" s="2" t="n">
        <v>56</v>
      </c>
      <c r="J205" s="2" t="inlineStr">
        <is>
          <t>否</t>
        </is>
      </c>
      <c r="K205" s="2" t="n">
        <v>4.7</v>
      </c>
      <c r="L205" s="2" t="inlineStr">
        <is>
          <t>有效</t>
        </is>
      </c>
      <c r="M205" s="3" t="inlineStr"/>
      <c r="N205" s="2">
        <f>(G205-H205)/G205</f>
        <v/>
      </c>
      <c r="O205" s="2">
        <f>G205-H205</f>
        <v/>
      </c>
    </row>
    <row r="206">
      <c r="A206" s="2" t="n">
        <v>206</v>
      </c>
      <c r="B206" s="2" t="inlineStr">
        <is>
          <t>OD00205</t>
        </is>
      </c>
      <c r="C206" s="2" t="inlineStr">
        <is>
          <t>2026-02-05</t>
        </is>
      </c>
      <c r="D206" s="2" t="inlineStr">
        <is>
          <t>宁波</t>
        </is>
      </c>
      <c r="E206" s="2" t="inlineStr">
        <is>
          <t>企业团购</t>
        </is>
      </c>
      <c r="F206" s="2" t="inlineStr">
        <is>
          <t>咖啡</t>
        </is>
      </c>
      <c r="G206" s="2" t="n">
        <v>481</v>
      </c>
      <c r="H206" s="2" t="n">
        <v>289</v>
      </c>
      <c r="I206" s="2" t="n">
        <v>81</v>
      </c>
      <c r="J206" s="2" t="inlineStr">
        <is>
          <t>否</t>
        </is>
      </c>
      <c r="K206" s="2" t="n">
        <v>3.4</v>
      </c>
      <c r="L206" s="2" t="inlineStr">
        <is>
          <t>有效</t>
        </is>
      </c>
      <c r="M206" s="3" t="inlineStr"/>
      <c r="N206" s="2">
        <f>(G206-H206)/G206</f>
        <v/>
      </c>
      <c r="O206" s="2">
        <f>G206-H206</f>
        <v/>
      </c>
    </row>
    <row r="207">
      <c r="A207" s="2" t="n">
        <v>207</v>
      </c>
      <c r="B207" s="2" t="inlineStr">
        <is>
          <t>OD00206</t>
        </is>
      </c>
      <c r="C207" s="2" t="inlineStr">
        <is>
          <t>2026-03-12</t>
        </is>
      </c>
      <c r="D207" s="2" t="inlineStr">
        <is>
          <t>苏州</t>
        </is>
      </c>
      <c r="E207" s="2" t="inlineStr">
        <is>
          <t>外卖平台</t>
        </is>
      </c>
      <c r="F207" s="2" t="inlineStr">
        <is>
          <t>轻食</t>
        </is>
      </c>
      <c r="G207" s="2" t="n">
        <v>284</v>
      </c>
      <c r="H207" s="2" t="n">
        <v>122</v>
      </c>
      <c r="I207" s="2" t="n">
        <v>63</v>
      </c>
      <c r="J207" s="2" t="inlineStr">
        <is>
          <t>否</t>
        </is>
      </c>
      <c r="K207" s="2" t="n">
        <v>3.8</v>
      </c>
      <c r="L207" s="2" t="inlineStr">
        <is>
          <t>有效</t>
        </is>
      </c>
      <c r="M207" s="3" t="inlineStr"/>
      <c r="N207" s="2">
        <f>(G207-H207)/G207</f>
        <v/>
      </c>
      <c r="O207" s="2">
        <f>G207-H207</f>
        <v/>
      </c>
    </row>
    <row r="208">
      <c r="A208" s="2" t="n">
        <v>208</v>
      </c>
      <c r="B208" s="2" t="inlineStr">
        <is>
          <t>OD00207</t>
        </is>
      </c>
      <c r="C208" s="2" t="inlineStr">
        <is>
          <t>2026-04-19</t>
        </is>
      </c>
      <c r="D208" s="2" t="inlineStr">
        <is>
          <t>上海</t>
        </is>
      </c>
      <c r="E208" s="2" t="inlineStr">
        <is>
          <t>企业团购</t>
        </is>
      </c>
      <c r="F208" s="2" t="inlineStr">
        <is>
          <t>轻食</t>
        </is>
      </c>
      <c r="G208" s="2" t="n">
        <v>427</v>
      </c>
      <c r="H208" s="2" t="n">
        <v>196</v>
      </c>
      <c r="I208" s="2" t="n">
        <v>76</v>
      </c>
      <c r="J208" s="2" t="inlineStr">
        <is>
          <t>否</t>
        </is>
      </c>
      <c r="K208" s="2" t="n">
        <v>4.1</v>
      </c>
      <c r="L208" s="2" t="inlineStr">
        <is>
          <t>有效</t>
        </is>
      </c>
      <c r="M208" s="3" t="inlineStr"/>
      <c r="N208" s="2">
        <f>(G208-H208)/G208</f>
        <v/>
      </c>
      <c r="O208" s="2">
        <f>G208-H208</f>
        <v/>
      </c>
    </row>
    <row r="209">
      <c r="A209" s="2" t="n">
        <v>209</v>
      </c>
      <c r="B209" s="2" t="inlineStr">
        <is>
          <t>OD00208</t>
        </is>
      </c>
      <c r="C209" s="2" t="inlineStr">
        <is>
          <t>2026-05-26</t>
        </is>
      </c>
      <c r="D209" s="2" t="inlineStr">
        <is>
          <t>南京</t>
        </is>
      </c>
      <c r="E209" s="2" t="inlineStr">
        <is>
          <t>门店</t>
        </is>
      </c>
      <c r="F209" s="2" t="inlineStr">
        <is>
          <t>烘焙</t>
        </is>
      </c>
      <c r="G209" s="2" t="n">
        <v>419</v>
      </c>
      <c r="H209" s="2" t="n">
        <v>310</v>
      </c>
      <c r="I209" s="2" t="n">
        <v>61</v>
      </c>
      <c r="J209" s="2" t="inlineStr">
        <is>
          <t>否</t>
        </is>
      </c>
      <c r="K209" s="2" t="n">
        <v>4.5</v>
      </c>
      <c r="L209" s="2" t="inlineStr">
        <is>
          <t>有效</t>
        </is>
      </c>
      <c r="M209" s="3" t="inlineStr"/>
      <c r="N209" s="2">
        <f>(G209-H209)/G209</f>
        <v/>
      </c>
      <c r="O209" s="2">
        <f>G209-H209</f>
        <v/>
      </c>
    </row>
    <row r="210">
      <c r="A210" s="2" t="n">
        <v>210</v>
      </c>
      <c r="B210" s="2" t="inlineStr">
        <is>
          <t>OD00209</t>
        </is>
      </c>
      <c r="C210" s="2" t="inlineStr">
        <is>
          <t>2026-06-06</t>
        </is>
      </c>
      <c r="D210" s="2" t="inlineStr">
        <is>
          <t>南京</t>
        </is>
      </c>
      <c r="E210" s="2" t="inlineStr">
        <is>
          <t>企业团购</t>
        </is>
      </c>
      <c r="F210" s="2" t="inlineStr">
        <is>
          <t>周边</t>
        </is>
      </c>
      <c r="G210" s="2" t="n">
        <v>343</v>
      </c>
      <c r="H210" s="2" t="n">
        <v>241</v>
      </c>
      <c r="I210" s="2" t="n">
        <v>54</v>
      </c>
      <c r="J210" s="2" t="inlineStr">
        <is>
          <t>否</t>
        </is>
      </c>
      <c r="K210" s="2" t="n">
        <v>3.3</v>
      </c>
      <c r="L210" s="2" t="inlineStr">
        <is>
          <t>有效</t>
        </is>
      </c>
      <c r="M210" s="3" t="inlineStr"/>
      <c r="N210" s="2">
        <f>(G210-H210)/G210</f>
        <v/>
      </c>
      <c r="O210" s="2">
        <f>G210-H210</f>
        <v/>
      </c>
    </row>
    <row r="211">
      <c r="A211" s="2" t="n">
        <v>211</v>
      </c>
      <c r="B211" s="2" t="inlineStr">
        <is>
          <t>OD00210</t>
        </is>
      </c>
      <c r="C211" s="2" t="inlineStr">
        <is>
          <t>2026-07-13</t>
        </is>
      </c>
      <c r="D211" s="2" t="inlineStr">
        <is>
          <t>苏州</t>
        </is>
      </c>
      <c r="E211" s="2" t="inlineStr">
        <is>
          <t>企业团购</t>
        </is>
      </c>
      <c r="F211" s="2" t="inlineStr">
        <is>
          <t>咖啡</t>
        </is>
      </c>
      <c r="G211" s="2" t="n">
        <v>634</v>
      </c>
      <c r="H211" s="2" t="n">
        <v>339</v>
      </c>
      <c r="I211" s="2" t="n">
        <v>69</v>
      </c>
      <c r="J211" s="2" t="inlineStr">
        <is>
          <t>否</t>
        </is>
      </c>
      <c r="K211" s="2" t="n">
        <v>4.2</v>
      </c>
      <c r="L211" s="2" t="inlineStr">
        <is>
          <t>有效</t>
        </is>
      </c>
      <c r="M211" s="3" t="inlineStr"/>
      <c r="N211" s="2">
        <f>(G211-H211)/G211</f>
        <v/>
      </c>
      <c r="O211" s="2">
        <f>G211-H211</f>
        <v/>
      </c>
    </row>
    <row r="212">
      <c r="A212" s="2" t="n">
        <v>212</v>
      </c>
      <c r="B212" s="2" t="inlineStr">
        <is>
          <t>OD00211</t>
        </is>
      </c>
      <c r="C212" s="2" t="inlineStr">
        <is>
          <t>2026-08-20</t>
        </is>
      </c>
      <c r="D212" s="2" t="inlineStr">
        <is>
          <t>杭州</t>
        </is>
      </c>
      <c r="E212" s="2" t="inlineStr">
        <is>
          <t>企业团购</t>
        </is>
      </c>
      <c r="F212" s="2" t="inlineStr">
        <is>
          <t>咖啡</t>
        </is>
      </c>
      <c r="G212" s="2" t="n">
        <v>252</v>
      </c>
      <c r="H212" s="2" t="n">
        <v>170</v>
      </c>
      <c r="I212" s="2" t="n">
        <v>32</v>
      </c>
      <c r="J212" s="2" t="inlineStr">
        <is>
          <t>否</t>
        </is>
      </c>
      <c r="K212" s="2" t="n">
        <v>3.7</v>
      </c>
      <c r="L212" s="2" t="inlineStr">
        <is>
          <t>有效</t>
        </is>
      </c>
      <c r="M212" s="3" t="inlineStr"/>
      <c r="N212" s="2">
        <f>(G212-H212)/G212</f>
        <v/>
      </c>
      <c r="O212" s="2">
        <f>G212-H212</f>
        <v/>
      </c>
    </row>
    <row r="213">
      <c r="A213" s="2" t="n">
        <v>213</v>
      </c>
      <c r="B213" s="2" t="inlineStr">
        <is>
          <t>OD00212</t>
        </is>
      </c>
      <c r="C213" s="2" t="inlineStr">
        <is>
          <t>2026-09-27</t>
        </is>
      </c>
      <c r="D213" s="2" t="inlineStr">
        <is>
          <t>合肥</t>
        </is>
      </c>
      <c r="E213" s="2" t="inlineStr">
        <is>
          <t>外卖平台</t>
        </is>
      </c>
      <c r="F213" s="2" t="inlineStr">
        <is>
          <t>茶饮</t>
        </is>
      </c>
      <c r="G213" s="2" t="n">
        <v>290</v>
      </c>
      <c r="H213" s="2" t="n">
        <v>138</v>
      </c>
      <c r="I213" s="2" t="n">
        <v>69</v>
      </c>
      <c r="J213" s="2" t="inlineStr">
        <is>
          <t>是</t>
        </is>
      </c>
      <c r="K213" s="2" t="n">
        <v>4.9</v>
      </c>
      <c r="L213" s="2" t="inlineStr">
        <is>
          <t>有效</t>
        </is>
      </c>
      <c r="M213" s="3" t="inlineStr"/>
      <c r="N213" s="2">
        <f>(G213-H213)/G213</f>
        <v/>
      </c>
      <c r="O213" s="2">
        <f>G213-H213</f>
        <v/>
      </c>
    </row>
    <row r="214">
      <c r="A214" s="2" t="n">
        <v>214</v>
      </c>
      <c r="B214" s="2" t="inlineStr">
        <is>
          <t>OD00213</t>
        </is>
      </c>
      <c r="C214" s="2" t="inlineStr">
        <is>
          <t>2026-10-07</t>
        </is>
      </c>
      <c r="D214" s="2" t="inlineStr">
        <is>
          <t>合肥</t>
        </is>
      </c>
      <c r="E214" s="2" t="inlineStr">
        <is>
          <t>外卖平台</t>
        </is>
      </c>
      <c r="F214" s="2" t="inlineStr">
        <is>
          <t>咖啡</t>
        </is>
      </c>
      <c r="G214" s="2" t="n">
        <v>454</v>
      </c>
      <c r="H214" s="2" t="n">
        <v>247</v>
      </c>
      <c r="I214" s="2" t="n">
        <v>62</v>
      </c>
      <c r="J214" s="2" t="inlineStr">
        <is>
          <t>否</t>
        </is>
      </c>
      <c r="K214" s="2" t="n">
        <v>4.9</v>
      </c>
      <c r="L214" s="2" t="inlineStr">
        <is>
          <t>有效</t>
        </is>
      </c>
      <c r="M214" s="3" t="inlineStr"/>
      <c r="N214" s="2">
        <f>(G214-H214)/G214</f>
        <v/>
      </c>
      <c r="O214" s="2">
        <f>G214-H214</f>
        <v/>
      </c>
    </row>
    <row r="215">
      <c r="A215" s="2" t="n">
        <v>215</v>
      </c>
      <c r="B215" s="2" t="inlineStr">
        <is>
          <t>OD00214</t>
        </is>
      </c>
      <c r="C215" s="2" t="inlineStr">
        <is>
          <t>2026-11-14</t>
        </is>
      </c>
      <c r="D215" s="2" t="inlineStr">
        <is>
          <t>杭州</t>
        </is>
      </c>
      <c r="E215" s="2" t="inlineStr">
        <is>
          <t>门店</t>
        </is>
      </c>
      <c r="F215" s="2" t="inlineStr">
        <is>
          <t>咖啡</t>
        </is>
      </c>
      <c r="G215" s="2" t="n">
        <v>553</v>
      </c>
      <c r="H215" s="2" t="n">
        <v>382</v>
      </c>
      <c r="I215" s="2" t="n">
        <v>77</v>
      </c>
      <c r="J215" s="2" t="inlineStr">
        <is>
          <t>否</t>
        </is>
      </c>
      <c r="K215" s="2" t="n">
        <v>3.9</v>
      </c>
      <c r="L215" s="2" t="inlineStr">
        <is>
          <t>有效</t>
        </is>
      </c>
      <c r="M215" s="3" t="inlineStr"/>
      <c r="N215" s="2">
        <f>(G215-H215)/G215</f>
        <v/>
      </c>
      <c r="O215" s="2">
        <f>G215-H215</f>
        <v/>
      </c>
    </row>
    <row r="216">
      <c r="A216" s="2" t="n">
        <v>216</v>
      </c>
      <c r="B216" s="2" t="inlineStr">
        <is>
          <t>OD00215</t>
        </is>
      </c>
      <c r="C216" s="2" t="inlineStr">
        <is>
          <t>2026-12-21</t>
        </is>
      </c>
      <c r="D216" s="2" t="inlineStr">
        <is>
          <t>宁波</t>
        </is>
      </c>
      <c r="E216" s="2" t="inlineStr">
        <is>
          <t>企业团购</t>
        </is>
      </c>
      <c r="F216" s="2" t="inlineStr">
        <is>
          <t>茶饮</t>
        </is>
      </c>
      <c r="G216" s="2" t="n">
        <v>200</v>
      </c>
      <c r="H216" s="2" t="n">
        <v>102</v>
      </c>
      <c r="I216" s="2" t="n">
        <v>33</v>
      </c>
      <c r="J216" s="2" t="inlineStr">
        <is>
          <t>否</t>
        </is>
      </c>
      <c r="K216" s="2" t="n">
        <v>4</v>
      </c>
      <c r="L216" s="2" t="inlineStr">
        <is>
          <t>有效</t>
        </is>
      </c>
      <c r="M216" s="3" t="inlineStr"/>
      <c r="N216" s="2">
        <f>(G216-H216)/G216</f>
        <v/>
      </c>
      <c r="O216" s="2">
        <f>G216-H216</f>
        <v/>
      </c>
    </row>
    <row r="217">
      <c r="A217" s="2" t="n">
        <v>217</v>
      </c>
      <c r="B217" s="2" t="inlineStr">
        <is>
          <t>OD00216</t>
        </is>
      </c>
      <c r="C217" s="2" t="inlineStr">
        <is>
          <t>2026-01-01</t>
        </is>
      </c>
      <c r="D217" s="2" t="inlineStr">
        <is>
          <t>苏州</t>
        </is>
      </c>
      <c r="E217" s="2" t="inlineStr">
        <is>
          <t>外卖平台</t>
        </is>
      </c>
      <c r="F217" s="2" t="inlineStr">
        <is>
          <t>周边</t>
        </is>
      </c>
      <c r="G217" s="2" t="n">
        <v>146</v>
      </c>
      <c r="H217" s="2" t="n">
        <v>95</v>
      </c>
      <c r="I217" s="2" t="n">
        <v>22</v>
      </c>
      <c r="J217" s="2" t="inlineStr">
        <is>
          <t>否</t>
        </is>
      </c>
      <c r="K217" s="2" t="n">
        <v>3.6</v>
      </c>
      <c r="L217" s="2" t="inlineStr">
        <is>
          <t>有效</t>
        </is>
      </c>
      <c r="M217" s="3" t="inlineStr"/>
      <c r="N217" s="2">
        <f>(G217-H217)/G217</f>
        <v/>
      </c>
      <c r="O217" s="2">
        <f>G217-H217</f>
        <v/>
      </c>
    </row>
    <row r="218">
      <c r="A218" s="2" t="n">
        <v>218</v>
      </c>
      <c r="B218" s="2" t="inlineStr">
        <is>
          <t>OD00217</t>
        </is>
      </c>
      <c r="C218" s="2" t="inlineStr">
        <is>
          <t>2026-02-08</t>
        </is>
      </c>
      <c r="D218" s="2" t="inlineStr">
        <is>
          <t>宁波</t>
        </is>
      </c>
      <c r="E218" s="2" t="inlineStr">
        <is>
          <t>企业团购</t>
        </is>
      </c>
      <c r="F218" s="2" t="inlineStr">
        <is>
          <t>轻食</t>
        </is>
      </c>
      <c r="G218" s="2" t="n">
        <v>53</v>
      </c>
      <c r="H218" s="2" t="n">
        <v>34</v>
      </c>
      <c r="I218" s="2" t="n">
        <v>61</v>
      </c>
      <c r="J218" s="2" t="inlineStr">
        <is>
          <t>否</t>
        </is>
      </c>
      <c r="K218" s="2" t="n">
        <v>4.7</v>
      </c>
      <c r="L218" s="2" t="inlineStr">
        <is>
          <t>有效</t>
        </is>
      </c>
      <c r="M218" s="3" t="inlineStr"/>
      <c r="N218" s="2">
        <f>(G218-H218)/G218</f>
        <v/>
      </c>
      <c r="O218" s="2">
        <f>G218-H218</f>
        <v/>
      </c>
    </row>
    <row r="219">
      <c r="A219" s="2" t="n">
        <v>219</v>
      </c>
      <c r="B219" s="2" t="inlineStr">
        <is>
          <t>OD00218</t>
        </is>
      </c>
      <c r="C219" s="2" t="inlineStr">
        <is>
          <t>2026-03-15</t>
        </is>
      </c>
      <c r="D219" s="2" t="inlineStr">
        <is>
          <t>上海</t>
        </is>
      </c>
      <c r="E219" s="2" t="inlineStr">
        <is>
          <t>小程序</t>
        </is>
      </c>
      <c r="F219" s="2" t="inlineStr">
        <is>
          <t>茶饮</t>
        </is>
      </c>
      <c r="G219" s="2" t="n">
        <v>239</v>
      </c>
      <c r="H219" s="2" t="n">
        <v>148</v>
      </c>
      <c r="I219" s="2" t="n">
        <v>28</v>
      </c>
      <c r="J219" s="2" t="inlineStr">
        <is>
          <t>否</t>
        </is>
      </c>
      <c r="K219" s="2" t="n">
        <v>3.3</v>
      </c>
      <c r="L219" s="2" t="inlineStr">
        <is>
          <t>有效</t>
        </is>
      </c>
      <c r="M219" s="3" t="inlineStr"/>
      <c r="N219" s="2">
        <f>(G219-H219)/G219</f>
        <v/>
      </c>
      <c r="O219" s="2">
        <f>G219-H219</f>
        <v/>
      </c>
    </row>
    <row r="220">
      <c r="A220" s="2" t="n">
        <v>220</v>
      </c>
      <c r="B220" s="2" t="inlineStr">
        <is>
          <t>OD00219</t>
        </is>
      </c>
      <c r="C220" s="2" t="inlineStr">
        <is>
          <t>2026-04-22</t>
        </is>
      </c>
      <c r="D220" s="2" t="inlineStr">
        <is>
          <t>合肥</t>
        </is>
      </c>
      <c r="E220" s="2" t="inlineStr">
        <is>
          <t>小程序</t>
        </is>
      </c>
      <c r="F220" s="2" t="inlineStr">
        <is>
          <t>咖啡</t>
        </is>
      </c>
      <c r="G220" s="2" t="n">
        <v>105</v>
      </c>
      <c r="H220" s="2" t="n">
        <v>51</v>
      </c>
      <c r="I220" s="2" t="n">
        <v>88</v>
      </c>
      <c r="J220" s="2" t="inlineStr">
        <is>
          <t>否</t>
        </is>
      </c>
      <c r="K220" s="2" t="n">
        <v>4.3</v>
      </c>
      <c r="L220" s="2" t="inlineStr">
        <is>
          <t>有效</t>
        </is>
      </c>
      <c r="M220" s="3" t="inlineStr"/>
      <c r="N220" s="2">
        <f>(G220-H220)/G220</f>
        <v/>
      </c>
      <c r="O220" s="2">
        <f>G220-H220</f>
        <v/>
      </c>
    </row>
    <row r="221">
      <c r="A221" s="2" t="n">
        <v>221</v>
      </c>
      <c r="B221" s="2" t="inlineStr">
        <is>
          <t>OD00220</t>
        </is>
      </c>
      <c r="C221" s="2" t="inlineStr">
        <is>
          <t>2026-05-02</t>
        </is>
      </c>
      <c r="D221" s="2" t="inlineStr">
        <is>
          <t>上海</t>
        </is>
      </c>
      <c r="E221" s="2" t="inlineStr">
        <is>
          <t>企业团购</t>
        </is>
      </c>
      <c r="F221" s="2" t="inlineStr">
        <is>
          <t>茶饮</t>
        </is>
      </c>
      <c r="G221" s="2" t="n">
        <v>228</v>
      </c>
      <c r="H221" s="2" t="n">
        <v>120</v>
      </c>
      <c r="I221" s="2" t="n">
        <v>70</v>
      </c>
      <c r="J221" s="2" t="inlineStr">
        <is>
          <t>是</t>
        </is>
      </c>
      <c r="K221" s="2" t="n">
        <v>4.7</v>
      </c>
      <c r="L221" s="2" t="inlineStr">
        <is>
          <t>有效</t>
        </is>
      </c>
      <c r="M221" s="3" t="inlineStr"/>
      <c r="N221" s="2">
        <f>(G221-H221)/G221</f>
        <v/>
      </c>
      <c r="O221" s="2">
        <f>G221-H221</f>
        <v/>
      </c>
    </row>
    <row r="222">
      <c r="A222" s="2" t="n">
        <v>222</v>
      </c>
      <c r="B222" s="2" t="inlineStr">
        <is>
          <t>OD00221</t>
        </is>
      </c>
      <c r="C222" s="2" t="inlineStr">
        <is>
          <t>2026-06-09</t>
        </is>
      </c>
      <c r="D222" s="2" t="inlineStr">
        <is>
          <t>杭州</t>
        </is>
      </c>
      <c r="E222" s="2" t="inlineStr">
        <is>
          <t>小程序</t>
        </is>
      </c>
      <c r="F222" s="2" t="inlineStr">
        <is>
          <t>周边</t>
        </is>
      </c>
      <c r="G222" s="2" t="n">
        <v>384</v>
      </c>
      <c r="H222" s="2" t="n">
        <v>204</v>
      </c>
      <c r="I222" s="2" t="n">
        <v>73</v>
      </c>
      <c r="J222" s="2" t="inlineStr">
        <is>
          <t>否</t>
        </is>
      </c>
      <c r="K222" s="2" t="n">
        <v>4</v>
      </c>
      <c r="L222" s="2" t="inlineStr">
        <is>
          <t>有效</t>
        </is>
      </c>
      <c r="M222" s="3" t="inlineStr"/>
      <c r="N222" s="2">
        <f>(G222-H222)/G222</f>
        <v/>
      </c>
      <c r="O222" s="2">
        <f>G222-H222</f>
        <v/>
      </c>
    </row>
    <row r="223">
      <c r="A223" s="2" t="n">
        <v>223</v>
      </c>
      <c r="B223" s="2" t="inlineStr">
        <is>
          <t>OD00222</t>
        </is>
      </c>
      <c r="C223" s="2" t="inlineStr">
        <is>
          <t>2026-07-16</t>
        </is>
      </c>
      <c r="D223" s="2" t="inlineStr">
        <is>
          <t>上海</t>
        </is>
      </c>
      <c r="E223" s="2" t="inlineStr">
        <is>
          <t>外卖平台</t>
        </is>
      </c>
      <c r="F223" s="2" t="inlineStr">
        <is>
          <t>轻食</t>
        </is>
      </c>
      <c r="G223" s="2" t="n">
        <v>474</v>
      </c>
      <c r="H223" s="2" t="n">
        <v>287</v>
      </c>
      <c r="I223" s="2" t="n">
        <v>59</v>
      </c>
      <c r="J223" s="2" t="inlineStr">
        <is>
          <t>否</t>
        </is>
      </c>
      <c r="K223" s="2" t="n">
        <v>4.6</v>
      </c>
      <c r="L223" s="2" t="inlineStr">
        <is>
          <t>有效</t>
        </is>
      </c>
      <c r="M223" s="3" t="inlineStr"/>
      <c r="N223" s="2">
        <f>(G223-H223)/G223</f>
        <v/>
      </c>
      <c r="O223" s="2">
        <f>G223-H223</f>
        <v/>
      </c>
    </row>
    <row r="224">
      <c r="A224" s="2" t="n">
        <v>224</v>
      </c>
      <c r="B224" s="2" t="inlineStr">
        <is>
          <t>OD00223</t>
        </is>
      </c>
      <c r="C224" s="2" t="inlineStr">
        <is>
          <t>2026-08-23</t>
        </is>
      </c>
      <c r="D224" s="2" t="inlineStr">
        <is>
          <t>合肥</t>
        </is>
      </c>
      <c r="E224" s="2" t="inlineStr">
        <is>
          <t>小程序</t>
        </is>
      </c>
      <c r="F224" s="2" t="inlineStr">
        <is>
          <t>茶饮</t>
        </is>
      </c>
      <c r="G224" s="2" t="n">
        <v>56</v>
      </c>
      <c r="H224" s="2" t="n">
        <v>29</v>
      </c>
      <c r="I224" s="2" t="n">
        <v>33</v>
      </c>
      <c r="J224" s="2" t="inlineStr">
        <is>
          <t>否</t>
        </is>
      </c>
      <c r="K224" s="2" t="n">
        <v>4.3</v>
      </c>
      <c r="L224" s="2" t="inlineStr">
        <is>
          <t>有效</t>
        </is>
      </c>
      <c r="M224" s="3" t="inlineStr"/>
      <c r="N224" s="2">
        <f>(G224-H224)/G224</f>
        <v/>
      </c>
      <c r="O224" s="2">
        <f>G224-H224</f>
        <v/>
      </c>
    </row>
    <row r="225">
      <c r="A225" s="2" t="n">
        <v>225</v>
      </c>
      <c r="B225" s="2" t="inlineStr">
        <is>
          <t>OD00224</t>
        </is>
      </c>
      <c r="C225" s="2" t="inlineStr">
        <is>
          <t>2026-09-03</t>
        </is>
      </c>
      <c r="D225" s="2" t="inlineStr">
        <is>
          <t>杭州</t>
        </is>
      </c>
      <c r="E225" s="2" t="inlineStr">
        <is>
          <t>门店</t>
        </is>
      </c>
      <c r="F225" s="2" t="inlineStr">
        <is>
          <t>茶饮</t>
        </is>
      </c>
      <c r="G225" s="2" t="n">
        <v>511</v>
      </c>
      <c r="H225" s="2" t="n">
        <v>218</v>
      </c>
      <c r="I225" s="2" t="n">
        <v>50</v>
      </c>
      <c r="J225" s="2" t="inlineStr">
        <is>
          <t>是</t>
        </is>
      </c>
      <c r="K225" s="2" t="n">
        <v>4.3</v>
      </c>
      <c r="L225" s="2" t="inlineStr">
        <is>
          <t>有效</t>
        </is>
      </c>
      <c r="M225" s="3" t="inlineStr"/>
      <c r="N225" s="2">
        <f>(G225-H225)/G225</f>
        <v/>
      </c>
      <c r="O225" s="2">
        <f>G225-H225</f>
        <v/>
      </c>
    </row>
    <row r="226">
      <c r="A226" s="2" t="n">
        <v>226</v>
      </c>
      <c r="B226" s="2" t="inlineStr">
        <is>
          <t>OD00225</t>
        </is>
      </c>
      <c r="C226" s="2" t="inlineStr">
        <is>
          <t>2026-10-10</t>
        </is>
      </c>
      <c r="D226" s="2" t="inlineStr">
        <is>
          <t>苏州</t>
        </is>
      </c>
      <c r="E226" s="2" t="inlineStr">
        <is>
          <t>企业团购</t>
        </is>
      </c>
      <c r="F226" s="2" t="inlineStr">
        <is>
          <t>咖啡</t>
        </is>
      </c>
      <c r="G226" s="2" t="n">
        <v>289</v>
      </c>
      <c r="H226" s="2" t="n">
        <v>185</v>
      </c>
      <c r="I226" s="2" t="n">
        <v>15</v>
      </c>
      <c r="J226" s="2" t="inlineStr">
        <is>
          <t>否</t>
        </is>
      </c>
      <c r="K226" s="2" t="n">
        <v>4.3</v>
      </c>
      <c r="L226" s="2" t="inlineStr">
        <is>
          <t>有效</t>
        </is>
      </c>
      <c r="M226" s="3" t="inlineStr"/>
      <c r="N226" s="2">
        <f>(G226-H226)/G226</f>
        <v/>
      </c>
      <c r="O226" s="2">
        <f>G226-H226</f>
        <v/>
      </c>
    </row>
    <row r="227">
      <c r="A227" s="2" t="n">
        <v>227</v>
      </c>
      <c r="B227" s="2" t="inlineStr">
        <is>
          <t>OD00226</t>
        </is>
      </c>
      <c r="C227" s="2" t="inlineStr">
        <is>
          <t>2026-11-17</t>
        </is>
      </c>
      <c r="D227" s="2" t="inlineStr">
        <is>
          <t>上海</t>
        </is>
      </c>
      <c r="E227" s="2" t="inlineStr">
        <is>
          <t>外卖平台</t>
        </is>
      </c>
      <c r="F227" s="2" t="inlineStr">
        <is>
          <t>茶饮</t>
        </is>
      </c>
      <c r="G227" s="2" t="n">
        <v>166</v>
      </c>
      <c r="H227" s="2" t="n">
        <v>75</v>
      </c>
      <c r="I227" s="2" t="n">
        <v>45</v>
      </c>
      <c r="J227" s="2" t="inlineStr">
        <is>
          <t>否</t>
        </is>
      </c>
      <c r="K227" s="2" t="n">
        <v>4.4</v>
      </c>
      <c r="L227" s="2" t="inlineStr">
        <is>
          <t>有效</t>
        </is>
      </c>
      <c r="M227" s="3" t="inlineStr"/>
      <c r="N227" s="2">
        <f>(G227-H227)/G227</f>
        <v/>
      </c>
      <c r="O227" s="2">
        <f>G227-H227</f>
        <v/>
      </c>
    </row>
    <row r="228">
      <c r="A228" s="2" t="n">
        <v>228</v>
      </c>
      <c r="B228" s="2" t="inlineStr">
        <is>
          <t>OD00227</t>
        </is>
      </c>
      <c r="C228" s="2" t="inlineStr">
        <is>
          <t>2026-12-24</t>
        </is>
      </c>
      <c r="D228" s="2" t="inlineStr">
        <is>
          <t>上海</t>
        </is>
      </c>
      <c r="E228" s="2" t="inlineStr">
        <is>
          <t>门店</t>
        </is>
      </c>
      <c r="F228" s="2" t="inlineStr">
        <is>
          <t>茶饮</t>
        </is>
      </c>
      <c r="G228" s="2" t="n">
        <v>174</v>
      </c>
      <c r="H228" s="2" t="n">
        <v>115</v>
      </c>
      <c r="I228" s="2" t="n">
        <v>95</v>
      </c>
      <c r="J228" s="2" t="inlineStr">
        <is>
          <t>否</t>
        </is>
      </c>
      <c r="K228" s="2" t="n">
        <v>3.4</v>
      </c>
      <c r="L228" s="2" t="inlineStr">
        <is>
          <t>有效</t>
        </is>
      </c>
      <c r="M228" s="3" t="inlineStr"/>
      <c r="N228" s="2">
        <f>(G228-H228)/G228</f>
        <v/>
      </c>
      <c r="O228" s="2">
        <f>G228-H228</f>
        <v/>
      </c>
    </row>
    <row r="229">
      <c r="A229" s="2" t="n">
        <v>229</v>
      </c>
      <c r="B229" s="2" t="inlineStr">
        <is>
          <t>OD00228</t>
        </is>
      </c>
      <c r="C229" s="2" t="inlineStr">
        <is>
          <t>2026-01-04</t>
        </is>
      </c>
      <c r="D229" s="2" t="inlineStr">
        <is>
          <t>南京</t>
        </is>
      </c>
      <c r="E229" s="2" t="inlineStr">
        <is>
          <t>小程序</t>
        </is>
      </c>
      <c r="F229" s="2" t="inlineStr">
        <is>
          <t>茶饮</t>
        </is>
      </c>
      <c r="G229" s="2" t="n">
        <v>40</v>
      </c>
      <c r="H229" s="2" t="n">
        <v>27</v>
      </c>
      <c r="I229" s="2" t="n">
        <v>66</v>
      </c>
      <c r="J229" s="2" t="inlineStr">
        <is>
          <t>否</t>
        </is>
      </c>
      <c r="K229" s="2" t="n">
        <v>3.6</v>
      </c>
      <c r="L229" s="2" t="inlineStr">
        <is>
          <t>有效</t>
        </is>
      </c>
      <c r="M229" s="3" t="inlineStr"/>
      <c r="N229" s="2">
        <f>(G229-H229)/G229</f>
        <v/>
      </c>
      <c r="O229" s="2">
        <f>G229-H229</f>
        <v/>
      </c>
    </row>
    <row r="230">
      <c r="A230" s="2" t="n">
        <v>230</v>
      </c>
      <c r="B230" s="2" t="inlineStr">
        <is>
          <t>OD00229</t>
        </is>
      </c>
      <c r="C230" s="2" t="inlineStr">
        <is>
          <t>2026-02-11</t>
        </is>
      </c>
      <c r="D230" s="2" t="inlineStr">
        <is>
          <t>上海</t>
        </is>
      </c>
      <c r="E230" s="2" t="inlineStr">
        <is>
          <t>企业团购</t>
        </is>
      </c>
      <c r="F230" s="2" t="inlineStr">
        <is>
          <t>烘焙</t>
        </is>
      </c>
      <c r="G230" s="2" t="n">
        <v>367</v>
      </c>
      <c r="H230" s="2" t="n">
        <v>217</v>
      </c>
      <c r="I230" s="2" t="n">
        <v>34</v>
      </c>
      <c r="J230" s="2" t="inlineStr">
        <is>
          <t>否</t>
        </is>
      </c>
      <c r="K230" s="2" t="n">
        <v>4.7</v>
      </c>
      <c r="L230" s="2" t="inlineStr">
        <is>
          <t>有效</t>
        </is>
      </c>
      <c r="M230" s="3" t="inlineStr"/>
      <c r="N230" s="2">
        <f>(G230-H230)/G230</f>
        <v/>
      </c>
      <c r="O230" s="2">
        <f>G230-H230</f>
        <v/>
      </c>
    </row>
    <row r="231">
      <c r="A231" s="2" t="n">
        <v>231</v>
      </c>
      <c r="B231" s="2" t="inlineStr">
        <is>
          <t>OD00230</t>
        </is>
      </c>
      <c r="C231" s="2" t="inlineStr">
        <is>
          <t>2026-03-18</t>
        </is>
      </c>
      <c r="D231" s="2" t="inlineStr">
        <is>
          <t>合肥</t>
        </is>
      </c>
      <c r="E231" s="2" t="inlineStr">
        <is>
          <t>小程序</t>
        </is>
      </c>
      <c r="F231" s="2" t="inlineStr">
        <is>
          <t>轻食</t>
        </is>
      </c>
      <c r="G231" s="2" t="n">
        <v>375</v>
      </c>
      <c r="H231" s="2" t="n">
        <v>185</v>
      </c>
      <c r="I231" s="2" t="n">
        <v>51</v>
      </c>
      <c r="J231" s="2" t="inlineStr">
        <is>
          <t>否</t>
        </is>
      </c>
      <c r="K231" s="2" t="n">
        <v>3.5</v>
      </c>
      <c r="L231" s="2" t="inlineStr">
        <is>
          <t>有效</t>
        </is>
      </c>
      <c r="M231" s="3" t="inlineStr"/>
      <c r="N231" s="2">
        <f>(G231-H231)/G231</f>
        <v/>
      </c>
      <c r="O231" s="2">
        <f>G231-H231</f>
        <v/>
      </c>
    </row>
    <row r="232">
      <c r="A232" s="2" t="n">
        <v>232</v>
      </c>
      <c r="B232" s="2" t="inlineStr">
        <is>
          <t>OD00231</t>
        </is>
      </c>
      <c r="C232" s="2" t="inlineStr">
        <is>
          <t>2026-04-25</t>
        </is>
      </c>
      <c r="D232" s="2" t="inlineStr">
        <is>
          <t>南京</t>
        </is>
      </c>
      <c r="E232" s="2" t="inlineStr">
        <is>
          <t>外卖平台</t>
        </is>
      </c>
      <c r="F232" s="2" t="inlineStr">
        <is>
          <t>咖啡</t>
        </is>
      </c>
      <c r="G232" s="2" t="n">
        <v>259</v>
      </c>
      <c r="H232" s="2" t="n">
        <v>170</v>
      </c>
      <c r="I232" s="2" t="n">
        <v>28</v>
      </c>
      <c r="J232" s="2" t="inlineStr">
        <is>
          <t>否</t>
        </is>
      </c>
      <c r="K232" s="2" t="n">
        <v>3.7</v>
      </c>
      <c r="L232" s="2" t="inlineStr">
        <is>
          <t>有效</t>
        </is>
      </c>
      <c r="M232" s="3" t="inlineStr"/>
      <c r="N232" s="2">
        <f>(G232-H232)/G232</f>
        <v/>
      </c>
      <c r="O232" s="2">
        <f>G232-H232</f>
        <v/>
      </c>
    </row>
    <row r="233">
      <c r="A233" s="2" t="n">
        <v>233</v>
      </c>
      <c r="B233" s="2" t="inlineStr">
        <is>
          <t>OD00232</t>
        </is>
      </c>
      <c r="C233" s="2" t="inlineStr">
        <is>
          <t>2026-05-05</t>
        </is>
      </c>
      <c r="D233" s="2" t="inlineStr">
        <is>
          <t>宁波</t>
        </is>
      </c>
      <c r="E233" s="2" t="inlineStr">
        <is>
          <t>门店</t>
        </is>
      </c>
      <c r="F233" s="2" t="inlineStr">
        <is>
          <t>茶饮</t>
        </is>
      </c>
      <c r="G233" s="2" t="n">
        <v>245</v>
      </c>
      <c r="H233" s="2" t="n">
        <v>112</v>
      </c>
      <c r="I233" s="2" t="n">
        <v>42</v>
      </c>
      <c r="J233" s="2" t="inlineStr">
        <is>
          <t>否</t>
        </is>
      </c>
      <c r="K233" s="2" t="n">
        <v>3.6</v>
      </c>
      <c r="L233" s="2" t="inlineStr">
        <is>
          <t>有效</t>
        </is>
      </c>
      <c r="M233" s="3" t="inlineStr"/>
      <c r="N233" s="2">
        <f>(G233-H233)/G233</f>
        <v/>
      </c>
      <c r="O233" s="2">
        <f>G233-H233</f>
        <v/>
      </c>
    </row>
    <row r="234">
      <c r="A234" s="2" t="n">
        <v>234</v>
      </c>
      <c r="B234" s="2" t="inlineStr">
        <is>
          <t>OD00233</t>
        </is>
      </c>
      <c r="C234" s="2" t="inlineStr">
        <is>
          <t>2026-06-12</t>
        </is>
      </c>
      <c r="D234" s="2" t="inlineStr">
        <is>
          <t>杭州</t>
        </is>
      </c>
      <c r="E234" s="2" t="inlineStr">
        <is>
          <t>门店</t>
        </is>
      </c>
      <c r="F234" s="2" t="inlineStr">
        <is>
          <t>周边</t>
        </is>
      </c>
      <c r="G234" s="2" t="n">
        <v>241</v>
      </c>
      <c r="H234" s="2" t="n">
        <v>172</v>
      </c>
      <c r="I234" s="2" t="n">
        <v>86</v>
      </c>
      <c r="J234" s="2" t="inlineStr">
        <is>
          <t>否</t>
        </is>
      </c>
      <c r="K234" s="2" t="n">
        <v>4.2</v>
      </c>
      <c r="L234" s="2" t="inlineStr">
        <is>
          <t>有效</t>
        </is>
      </c>
      <c r="M234" s="3" t="inlineStr"/>
      <c r="N234" s="2">
        <f>(G234-H234)/G234</f>
        <v/>
      </c>
      <c r="O234" s="2">
        <f>G234-H234</f>
        <v/>
      </c>
    </row>
    <row r="235">
      <c r="A235" s="2" t="n">
        <v>235</v>
      </c>
      <c r="B235" s="2" t="inlineStr">
        <is>
          <t>OD00234</t>
        </is>
      </c>
      <c r="C235" s="2" t="inlineStr">
        <is>
          <t>2026-07-19</t>
        </is>
      </c>
      <c r="D235" s="2" t="inlineStr">
        <is>
          <t>宁波</t>
        </is>
      </c>
      <c r="E235" s="2" t="inlineStr">
        <is>
          <t>企业团购</t>
        </is>
      </c>
      <c r="F235" s="2" t="inlineStr">
        <is>
          <t>周边</t>
        </is>
      </c>
      <c r="G235" s="2" t="n">
        <v>469</v>
      </c>
      <c r="H235" s="2" t="n">
        <v>325</v>
      </c>
      <c r="I235" s="2" t="n">
        <v>55</v>
      </c>
      <c r="J235" s="2" t="inlineStr">
        <is>
          <t>否</t>
        </is>
      </c>
      <c r="K235" s="2" t="n">
        <v>3.6</v>
      </c>
      <c r="L235" s="2" t="inlineStr">
        <is>
          <t>有效</t>
        </is>
      </c>
      <c r="M235" s="3" t="inlineStr"/>
      <c r="N235" s="2">
        <f>(G235-H235)/G235</f>
        <v/>
      </c>
      <c r="O235" s="2">
        <f>G235-H235</f>
        <v/>
      </c>
    </row>
    <row r="236">
      <c r="A236" s="2" t="n">
        <v>236</v>
      </c>
      <c r="B236" s="2" t="inlineStr">
        <is>
          <t>OD00235</t>
        </is>
      </c>
      <c r="C236" s="2" t="inlineStr">
        <is>
          <t>2026-08-26</t>
        </is>
      </c>
      <c r="D236" s="2" t="inlineStr">
        <is>
          <t>南京</t>
        </is>
      </c>
      <c r="E236" s="2" t="inlineStr">
        <is>
          <t>门店</t>
        </is>
      </c>
      <c r="F236" s="2" t="inlineStr">
        <is>
          <t>茶饮</t>
        </is>
      </c>
      <c r="G236" s="2" t="n">
        <v>594</v>
      </c>
      <c r="H236" s="2" t="n">
        <v>404</v>
      </c>
      <c r="I236" s="2" t="n">
        <v>93</v>
      </c>
      <c r="J236" s="2" t="inlineStr">
        <is>
          <t>否</t>
        </is>
      </c>
      <c r="K236" s="2" t="n">
        <v>3.8</v>
      </c>
      <c r="L236" s="2" t="inlineStr">
        <is>
          <t>有效</t>
        </is>
      </c>
      <c r="M236" s="3" t="inlineStr"/>
      <c r="N236" s="2">
        <f>(G236-H236)/G236</f>
        <v/>
      </c>
      <c r="O236" s="2">
        <f>G236-H236</f>
        <v/>
      </c>
    </row>
    <row r="237">
      <c r="A237" s="2" t="n">
        <v>237</v>
      </c>
      <c r="B237" s="2" t="inlineStr">
        <is>
          <t>OD00236</t>
        </is>
      </c>
      <c r="C237" s="2" t="inlineStr">
        <is>
          <t>2026-09-06</t>
        </is>
      </c>
      <c r="D237" s="2" t="inlineStr">
        <is>
          <t>上海</t>
        </is>
      </c>
      <c r="E237" s="2" t="inlineStr">
        <is>
          <t>企业团购</t>
        </is>
      </c>
      <c r="F237" s="2" t="inlineStr">
        <is>
          <t>咖啡</t>
        </is>
      </c>
      <c r="G237" s="2" t="n">
        <v>449</v>
      </c>
      <c r="H237" s="2" t="n">
        <v>287</v>
      </c>
      <c r="I237" s="2" t="n">
        <v>40</v>
      </c>
      <c r="J237" s="2" t="inlineStr">
        <is>
          <t>否</t>
        </is>
      </c>
      <c r="K237" s="2" t="n">
        <v>4.9</v>
      </c>
      <c r="L237" s="2" t="inlineStr">
        <is>
          <t>有效</t>
        </is>
      </c>
      <c r="M237" s="3" t="inlineStr"/>
      <c r="N237" s="2">
        <f>(G237-H237)/G237</f>
        <v/>
      </c>
      <c r="O237" s="2">
        <f>G237-H237</f>
        <v/>
      </c>
    </row>
    <row r="238">
      <c r="A238" s="2" t="n">
        <v>238</v>
      </c>
      <c r="B238" s="2" t="inlineStr">
        <is>
          <t>OD00237</t>
        </is>
      </c>
      <c r="C238" s="2" t="inlineStr">
        <is>
          <t>2026-10-13</t>
        </is>
      </c>
      <c r="D238" s="2" t="inlineStr">
        <is>
          <t>上海</t>
        </is>
      </c>
      <c r="E238" s="2" t="inlineStr">
        <is>
          <t>门店</t>
        </is>
      </c>
      <c r="F238" s="2" t="inlineStr">
        <is>
          <t>咖啡</t>
        </is>
      </c>
      <c r="G238" s="2" t="n">
        <v>228</v>
      </c>
      <c r="H238" s="2" t="n">
        <v>115</v>
      </c>
      <c r="I238" s="2" t="n">
        <v>49</v>
      </c>
      <c r="J238" s="2" t="inlineStr">
        <is>
          <t>否</t>
        </is>
      </c>
      <c r="K238" s="2" t="n">
        <v>3.4</v>
      </c>
      <c r="L238" s="2" t="inlineStr">
        <is>
          <t>有效</t>
        </is>
      </c>
      <c r="M238" s="3" t="inlineStr"/>
      <c r="N238" s="2">
        <f>(G238-H238)/G238</f>
        <v/>
      </c>
      <c r="O238" s="2">
        <f>G238-H238</f>
        <v/>
      </c>
    </row>
    <row r="239">
      <c r="A239" s="2" t="n">
        <v>239</v>
      </c>
      <c r="B239" s="2" t="inlineStr">
        <is>
          <t>OD00238</t>
        </is>
      </c>
      <c r="C239" s="2" t="inlineStr">
        <is>
          <t>2026-11-20</t>
        </is>
      </c>
      <c r="D239" s="2" t="inlineStr">
        <is>
          <t>上海</t>
        </is>
      </c>
      <c r="E239" s="2" t="inlineStr">
        <is>
          <t>门店</t>
        </is>
      </c>
      <c r="F239" s="2" t="inlineStr">
        <is>
          <t>轻食</t>
        </is>
      </c>
      <c r="G239" s="2" t="n">
        <v>103</v>
      </c>
      <c r="H239" s="2" t="n">
        <v>61</v>
      </c>
      <c r="I239" s="2" t="n">
        <v>89</v>
      </c>
      <c r="J239" s="2" t="inlineStr">
        <is>
          <t>否</t>
        </is>
      </c>
      <c r="K239" s="2" t="n">
        <v>4.2</v>
      </c>
      <c r="L239" s="2" t="inlineStr">
        <is>
          <t>有效</t>
        </is>
      </c>
      <c r="M239" s="3" t="inlineStr"/>
      <c r="N239" s="2">
        <f>(G239-H239)/G239</f>
        <v/>
      </c>
      <c r="O239" s="2">
        <f>G239-H239</f>
        <v/>
      </c>
    </row>
    <row r="240">
      <c r="A240" s="2" t="n">
        <v>240</v>
      </c>
      <c r="B240" s="2" t="inlineStr">
        <is>
          <t>OD00239</t>
        </is>
      </c>
      <c r="C240" s="2" t="inlineStr">
        <is>
          <t>2026-12-27</t>
        </is>
      </c>
      <c r="D240" s="2" t="inlineStr">
        <is>
          <t>上海</t>
        </is>
      </c>
      <c r="E240" s="2" t="inlineStr">
        <is>
          <t>外卖平台</t>
        </is>
      </c>
      <c r="F240" s="2" t="inlineStr">
        <is>
          <t>茶饮</t>
        </is>
      </c>
      <c r="G240" s="2" t="n">
        <v>539</v>
      </c>
      <c r="H240" s="2" t="n">
        <v>322</v>
      </c>
      <c r="I240" s="2" t="n">
        <v>42</v>
      </c>
      <c r="J240" s="2" t="inlineStr">
        <is>
          <t>否</t>
        </is>
      </c>
      <c r="K240" s="2" t="n">
        <v>3.8</v>
      </c>
      <c r="L240" s="2" t="inlineStr">
        <is>
          <t>有效</t>
        </is>
      </c>
      <c r="M240" s="3" t="inlineStr"/>
      <c r="N240" s="2">
        <f>(G240-H240)/G240</f>
        <v/>
      </c>
      <c r="O240" s="2">
        <f>G240-H240</f>
        <v/>
      </c>
    </row>
    <row r="241">
      <c r="A241" s="2" t="n">
        <v>241</v>
      </c>
      <c r="B241" s="2" t="inlineStr">
        <is>
          <t>OD00240</t>
        </is>
      </c>
      <c r="C241" s="2" t="inlineStr">
        <is>
          <t>2026-01-07</t>
        </is>
      </c>
      <c r="D241" s="2" t="inlineStr">
        <is>
          <t>宁波</t>
        </is>
      </c>
      <c r="E241" s="2" t="inlineStr">
        <is>
          <t>外卖平台</t>
        </is>
      </c>
      <c r="F241" s="2" t="inlineStr">
        <is>
          <t>轻食</t>
        </is>
      </c>
      <c r="G241" s="2" t="n">
        <v>657</v>
      </c>
      <c r="H241" s="2" t="n">
        <v>422</v>
      </c>
      <c r="I241" s="2" t="n">
        <v>57</v>
      </c>
      <c r="J241" s="2" t="inlineStr">
        <is>
          <t>否</t>
        </is>
      </c>
      <c r="K241" s="2" t="n">
        <v>3.1</v>
      </c>
      <c r="L241" s="2" t="inlineStr">
        <is>
          <t>有效</t>
        </is>
      </c>
      <c r="M241" s="3" t="inlineStr"/>
      <c r="N241" s="2">
        <f>(G241-H241)/G241</f>
        <v/>
      </c>
      <c r="O241" s="2">
        <f>G241-H241</f>
        <v/>
      </c>
    </row>
    <row r="242">
      <c r="A242" s="2" t="n">
        <v>242</v>
      </c>
      <c r="B242" s="2" t="inlineStr">
        <is>
          <t>OD00241</t>
        </is>
      </c>
      <c r="C242" s="2" t="inlineStr">
        <is>
          <t>2026-02-14</t>
        </is>
      </c>
      <c r="D242" s="2" t="inlineStr">
        <is>
          <t>南京</t>
        </is>
      </c>
      <c r="E242" s="2" t="inlineStr">
        <is>
          <t>企业团购</t>
        </is>
      </c>
      <c r="F242" s="2" t="inlineStr">
        <is>
          <t>烘焙</t>
        </is>
      </c>
      <c r="G242" s="2" t="n">
        <v>265</v>
      </c>
      <c r="H242" s="2" t="n">
        <v>127</v>
      </c>
      <c r="I242" s="2" t="n">
        <v>94</v>
      </c>
      <c r="J242" s="2" t="inlineStr">
        <is>
          <t>否</t>
        </is>
      </c>
      <c r="K242" s="2" t="n">
        <v>3.3</v>
      </c>
      <c r="L242" s="2" t="inlineStr">
        <is>
          <t>有效</t>
        </is>
      </c>
      <c r="M242" s="3" t="inlineStr"/>
      <c r="N242" s="2">
        <f>(G242-H242)/G242</f>
        <v/>
      </c>
      <c r="O242" s="2">
        <f>G242-H242</f>
        <v/>
      </c>
    </row>
    <row r="243">
      <c r="A243" s="2" t="n">
        <v>243</v>
      </c>
      <c r="B243" s="2" t="inlineStr">
        <is>
          <t>OD00242</t>
        </is>
      </c>
      <c r="C243" s="2" t="inlineStr">
        <is>
          <t>2026-03-21</t>
        </is>
      </c>
      <c r="D243" s="2" t="inlineStr">
        <is>
          <t>合肥</t>
        </is>
      </c>
      <c r="E243" s="2" t="inlineStr">
        <is>
          <t>企业团购</t>
        </is>
      </c>
      <c r="F243" s="2" t="inlineStr">
        <is>
          <t>烘焙</t>
        </is>
      </c>
      <c r="G243" s="2" t="n">
        <v>571</v>
      </c>
      <c r="H243" s="2" t="n">
        <v>284</v>
      </c>
      <c r="I243" s="2" t="n">
        <v>39</v>
      </c>
      <c r="J243" s="2" t="inlineStr">
        <is>
          <t>是</t>
        </is>
      </c>
      <c r="K243" s="2" t="n">
        <v>4.1</v>
      </c>
      <c r="L243" s="2" t="inlineStr">
        <is>
          <t>有效</t>
        </is>
      </c>
      <c r="M243" s="3" t="inlineStr"/>
      <c r="N243" s="2">
        <f>(G243-H243)/G243</f>
        <v/>
      </c>
      <c r="O243" s="2">
        <f>G243-H243</f>
        <v/>
      </c>
    </row>
    <row r="244">
      <c r="A244" s="2" t="n">
        <v>244</v>
      </c>
      <c r="B244" s="2" t="inlineStr">
        <is>
          <t>OD00243</t>
        </is>
      </c>
      <c r="C244" s="2" t="inlineStr">
        <is>
          <t>2026-04-01</t>
        </is>
      </c>
      <c r="D244" s="2" t="inlineStr">
        <is>
          <t>上海</t>
        </is>
      </c>
      <c r="E244" s="2" t="inlineStr">
        <is>
          <t>小程序</t>
        </is>
      </c>
      <c r="F244" s="2" t="inlineStr">
        <is>
          <t>周边</t>
        </is>
      </c>
      <c r="G244" s="2" t="n">
        <v>224</v>
      </c>
      <c r="H244" s="2" t="n">
        <v>138</v>
      </c>
      <c r="I244" s="2" t="n">
        <v>23</v>
      </c>
      <c r="J244" s="2" t="inlineStr">
        <is>
          <t>否</t>
        </is>
      </c>
      <c r="K244" s="2" t="n">
        <v>3.4</v>
      </c>
      <c r="L244" s="2" t="inlineStr">
        <is>
          <t>有效</t>
        </is>
      </c>
      <c r="M244" s="3" t="inlineStr"/>
      <c r="N244" s="2">
        <f>(G244-H244)/G244</f>
        <v/>
      </c>
      <c r="O244" s="2">
        <f>G244-H244</f>
        <v/>
      </c>
    </row>
    <row r="245">
      <c r="A245" s="2" t="n">
        <v>245</v>
      </c>
      <c r="B245" s="2" t="inlineStr">
        <is>
          <t>OD00244</t>
        </is>
      </c>
      <c r="C245" s="2" t="inlineStr">
        <is>
          <t>2026-05-08</t>
        </is>
      </c>
      <c r="D245" s="2" t="inlineStr">
        <is>
          <t>南京</t>
        </is>
      </c>
      <c r="E245" s="2" t="inlineStr">
        <is>
          <t>小程序</t>
        </is>
      </c>
      <c r="F245" s="2" t="inlineStr">
        <is>
          <t>周边</t>
        </is>
      </c>
      <c r="G245" s="2" t="n">
        <v>305</v>
      </c>
      <c r="H245" s="2" t="n">
        <v>136</v>
      </c>
      <c r="I245" s="2" t="n">
        <v>92</v>
      </c>
      <c r="J245" s="2" t="inlineStr">
        <is>
          <t>否</t>
        </is>
      </c>
      <c r="K245" s="2" t="n">
        <v>3.3</v>
      </c>
      <c r="L245" s="2" t="inlineStr">
        <is>
          <t>有效</t>
        </is>
      </c>
      <c r="M245" s="3" t="inlineStr"/>
      <c r="N245" s="2">
        <f>(G245-H245)/G245</f>
        <v/>
      </c>
      <c r="O245" s="2">
        <f>G245-H245</f>
        <v/>
      </c>
    </row>
    <row r="246">
      <c r="A246" s="2" t="n">
        <v>246</v>
      </c>
      <c r="B246" s="2" t="inlineStr">
        <is>
          <t>OD00245</t>
        </is>
      </c>
      <c r="C246" s="2" t="inlineStr">
        <is>
          <t>2026-06-15</t>
        </is>
      </c>
      <c r="D246" s="2" t="inlineStr">
        <is>
          <t>南京</t>
        </is>
      </c>
      <c r="E246" s="2" t="inlineStr">
        <is>
          <t>外卖平台</t>
        </is>
      </c>
      <c r="F246" s="2" t="inlineStr">
        <is>
          <t>茶饮</t>
        </is>
      </c>
      <c r="G246" s="2" t="n">
        <v>440</v>
      </c>
      <c r="H246" s="2" t="n">
        <v>231</v>
      </c>
      <c r="I246" s="2" t="n">
        <v>17</v>
      </c>
      <c r="J246" s="2" t="inlineStr">
        <is>
          <t>否</t>
        </is>
      </c>
      <c r="K246" s="2" t="n">
        <v>4.7</v>
      </c>
      <c r="L246" s="2" t="inlineStr">
        <is>
          <t>有效</t>
        </is>
      </c>
      <c r="M246" s="3" t="inlineStr"/>
      <c r="N246" s="2">
        <f>(G246-H246)/G246</f>
        <v/>
      </c>
      <c r="O246" s="2">
        <f>G246-H246</f>
        <v/>
      </c>
    </row>
    <row r="247">
      <c r="A247" s="2" t="n">
        <v>247</v>
      </c>
      <c r="B247" s="2" t="inlineStr">
        <is>
          <t>OD00246</t>
        </is>
      </c>
      <c r="C247" s="2" t="inlineStr">
        <is>
          <t>2026-07-22</t>
        </is>
      </c>
      <c r="D247" s="2" t="inlineStr">
        <is>
          <t>南京</t>
        </is>
      </c>
      <c r="E247" s="2" t="inlineStr">
        <is>
          <t>小程序</t>
        </is>
      </c>
      <c r="F247" s="2" t="inlineStr">
        <is>
          <t>烘焙</t>
        </is>
      </c>
      <c r="G247" s="2" t="n">
        <v>269</v>
      </c>
      <c r="H247" s="2" t="n">
        <v>192</v>
      </c>
      <c r="I247" s="2" t="n">
        <v>63</v>
      </c>
      <c r="J247" s="2" t="inlineStr">
        <is>
          <t>否</t>
        </is>
      </c>
      <c r="K247" s="2" t="n">
        <v>3.8</v>
      </c>
      <c r="L247" s="2" t="inlineStr">
        <is>
          <t>有效</t>
        </is>
      </c>
      <c r="M247" s="3" t="inlineStr"/>
      <c r="N247" s="2">
        <f>(G247-H247)/G247</f>
        <v/>
      </c>
      <c r="O247" s="2">
        <f>G247-H247</f>
        <v/>
      </c>
    </row>
    <row r="248">
      <c r="A248" s="2" t="n">
        <v>248</v>
      </c>
      <c r="B248" s="2" t="inlineStr">
        <is>
          <t>OD00247</t>
        </is>
      </c>
      <c r="C248" s="2" t="inlineStr">
        <is>
          <t>2026-08-02</t>
        </is>
      </c>
      <c r="D248" s="2" t="inlineStr">
        <is>
          <t>宁波</t>
        </is>
      </c>
      <c r="E248" s="2" t="inlineStr">
        <is>
          <t>门店</t>
        </is>
      </c>
      <c r="F248" s="2" t="inlineStr">
        <is>
          <t>茶饮</t>
        </is>
      </c>
      <c r="G248" s="2" t="n">
        <v>117</v>
      </c>
      <c r="H248" s="2" t="n">
        <v>86</v>
      </c>
      <c r="I248" s="2" t="n">
        <v>22</v>
      </c>
      <c r="J248" s="2" t="inlineStr">
        <is>
          <t>否</t>
        </is>
      </c>
      <c r="K248" s="2" t="n">
        <v>4.1</v>
      </c>
      <c r="L248" s="2" t="inlineStr">
        <is>
          <t>有效</t>
        </is>
      </c>
      <c r="M248" s="3" t="inlineStr"/>
      <c r="N248" s="2">
        <f>(G248-H248)/G248</f>
        <v/>
      </c>
      <c r="O248" s="2">
        <f>G248-H248</f>
        <v/>
      </c>
    </row>
    <row r="249">
      <c r="A249" s="2" t="n">
        <v>249</v>
      </c>
      <c r="B249" s="2" t="inlineStr">
        <is>
          <t>OD00248</t>
        </is>
      </c>
      <c r="C249" s="2" t="inlineStr">
        <is>
          <t>2026-09-09</t>
        </is>
      </c>
      <c r="D249" s="2" t="inlineStr">
        <is>
          <t>宁波</t>
        </is>
      </c>
      <c r="E249" s="2" t="inlineStr">
        <is>
          <t>门店</t>
        </is>
      </c>
      <c r="F249" s="2" t="inlineStr">
        <is>
          <t>轻食</t>
        </is>
      </c>
      <c r="G249" s="2" t="n">
        <v>167</v>
      </c>
      <c r="H249" s="2" t="n">
        <v>90</v>
      </c>
      <c r="I249" s="2" t="n">
        <v>58</v>
      </c>
      <c r="J249" s="2" t="inlineStr">
        <is>
          <t>否</t>
        </is>
      </c>
      <c r="K249" s="2" t="n">
        <v>3.5</v>
      </c>
      <c r="L249" s="2" t="inlineStr">
        <is>
          <t>有效</t>
        </is>
      </c>
      <c r="M249" s="3" t="inlineStr"/>
      <c r="N249" s="2">
        <f>(G249-H249)/G249</f>
        <v/>
      </c>
      <c r="O249" s="2">
        <f>G249-H249</f>
        <v/>
      </c>
    </row>
    <row r="250">
      <c r="A250" s="2" t="n">
        <v>250</v>
      </c>
      <c r="B250" s="2" t="inlineStr">
        <is>
          <t>OD00249</t>
        </is>
      </c>
      <c r="C250" s="2" t="inlineStr">
        <is>
          <t>2026-10-16</t>
        </is>
      </c>
      <c r="D250" s="2" t="inlineStr">
        <is>
          <t>南京</t>
        </is>
      </c>
      <c r="E250" s="2" t="inlineStr">
        <is>
          <t>小程序</t>
        </is>
      </c>
      <c r="F250" s="2" t="inlineStr">
        <is>
          <t>咖啡</t>
        </is>
      </c>
      <c r="G250" s="2" t="n">
        <v>489</v>
      </c>
      <c r="H250" s="2" t="n">
        <v>327</v>
      </c>
      <c r="I250" s="2" t="n">
        <v>17</v>
      </c>
      <c r="J250" s="2" t="inlineStr">
        <is>
          <t>否</t>
        </is>
      </c>
      <c r="K250" s="2" t="n">
        <v>3.1</v>
      </c>
      <c r="L250" s="2" t="inlineStr">
        <is>
          <t>有效</t>
        </is>
      </c>
      <c r="M250" s="3" t="inlineStr"/>
      <c r="N250" s="2">
        <f>(G250-H250)/G250</f>
        <v/>
      </c>
      <c r="O250" s="2">
        <f>G250-H250</f>
        <v/>
      </c>
    </row>
    <row r="251">
      <c r="A251" s="2" t="n">
        <v>251</v>
      </c>
      <c r="B251" s="2" t="inlineStr">
        <is>
          <t>OD00250</t>
        </is>
      </c>
      <c r="C251" s="2" t="inlineStr">
        <is>
          <t>2026-11-23</t>
        </is>
      </c>
      <c r="D251" s="2" t="inlineStr">
        <is>
          <t>苏州</t>
        </is>
      </c>
      <c r="E251" s="2" t="inlineStr">
        <is>
          <t>外卖平台</t>
        </is>
      </c>
      <c r="F251" s="2" t="inlineStr">
        <is>
          <t>周边</t>
        </is>
      </c>
      <c r="G251" s="2" t="n">
        <v>448</v>
      </c>
      <c r="H251" s="2" t="n">
        <v>252</v>
      </c>
      <c r="I251" s="2" t="n">
        <v>76</v>
      </c>
      <c r="J251" s="2" t="inlineStr">
        <is>
          <t>否</t>
        </is>
      </c>
      <c r="K251" s="2" t="n">
        <v>3.9</v>
      </c>
      <c r="L251" s="2" t="inlineStr">
        <is>
          <t>有效</t>
        </is>
      </c>
      <c r="M251" s="3" t="inlineStr"/>
      <c r="N251" s="2">
        <f>(G251-H251)/G251</f>
        <v/>
      </c>
      <c r="O251" s="2">
        <f>G251-H251</f>
        <v/>
      </c>
    </row>
    <row r="252">
      <c r="A252" s="2" t="n">
        <v>252</v>
      </c>
      <c r="B252" s="2" t="inlineStr">
        <is>
          <t>OD00251</t>
        </is>
      </c>
      <c r="C252" s="2" t="inlineStr">
        <is>
          <t>2026-12-03</t>
        </is>
      </c>
      <c r="D252" s="2" t="inlineStr">
        <is>
          <t>合肥</t>
        </is>
      </c>
      <c r="E252" s="2" t="inlineStr">
        <is>
          <t>外卖平台</t>
        </is>
      </c>
      <c r="F252" s="2" t="inlineStr">
        <is>
          <t>茶饮</t>
        </is>
      </c>
      <c r="G252" s="2" t="n">
        <v>274</v>
      </c>
      <c r="H252" s="2" t="n">
        <v>152</v>
      </c>
      <c r="I252" s="2" t="n">
        <v>88</v>
      </c>
      <c r="J252" s="2" t="inlineStr">
        <is>
          <t>否</t>
        </is>
      </c>
      <c r="K252" s="2" t="n">
        <v>3.2</v>
      </c>
      <c r="L252" s="2" t="inlineStr">
        <is>
          <t>有效</t>
        </is>
      </c>
      <c r="M252" s="3" t="inlineStr"/>
      <c r="N252" s="2">
        <f>(G252-H252)/G252</f>
        <v/>
      </c>
      <c r="O252" s="2">
        <f>G252-H252</f>
        <v/>
      </c>
    </row>
    <row r="253">
      <c r="A253" s="2" t="n">
        <v>253</v>
      </c>
      <c r="B253" s="2" t="inlineStr">
        <is>
          <t>OD00252</t>
        </is>
      </c>
      <c r="C253" s="2" t="inlineStr">
        <is>
          <t>2026-01-10</t>
        </is>
      </c>
      <c r="D253" s="2" t="inlineStr">
        <is>
          <t>宁波</t>
        </is>
      </c>
      <c r="E253" s="2" t="inlineStr">
        <is>
          <t>小程序</t>
        </is>
      </c>
      <c r="F253" s="2" t="inlineStr">
        <is>
          <t>咖啡</t>
        </is>
      </c>
      <c r="G253" s="2" t="n">
        <v>379</v>
      </c>
      <c r="H253" s="2" t="n">
        <v>163</v>
      </c>
      <c r="I253" s="2" t="n">
        <v>58</v>
      </c>
      <c r="J253" s="2" t="inlineStr">
        <is>
          <t>否</t>
        </is>
      </c>
      <c r="K253" s="2" t="n">
        <v>5</v>
      </c>
      <c r="L253" s="2" t="inlineStr">
        <is>
          <t>有效</t>
        </is>
      </c>
      <c r="M253" s="3" t="inlineStr"/>
      <c r="N253" s="2">
        <f>(G253-H253)/G253</f>
        <v/>
      </c>
      <c r="O253" s="2">
        <f>G253-H253</f>
        <v/>
      </c>
    </row>
    <row r="254">
      <c r="A254" s="2" t="n">
        <v>254</v>
      </c>
      <c r="B254" s="2" t="inlineStr">
        <is>
          <t>OD00253</t>
        </is>
      </c>
      <c r="C254" s="2" t="inlineStr">
        <is>
          <t>2026-02-17</t>
        </is>
      </c>
      <c r="D254" s="2" t="inlineStr">
        <is>
          <t>宁波</t>
        </is>
      </c>
      <c r="E254" s="2" t="inlineStr">
        <is>
          <t>小程序</t>
        </is>
      </c>
      <c r="F254" s="2" t="inlineStr">
        <is>
          <t>烘焙</t>
        </is>
      </c>
      <c r="G254" s="2" t="n">
        <v>209</v>
      </c>
      <c r="H254" s="2" t="n">
        <v>112</v>
      </c>
      <c r="I254" s="2" t="n">
        <v>38</v>
      </c>
      <c r="J254" s="2" t="inlineStr">
        <is>
          <t>否</t>
        </is>
      </c>
      <c r="K254" s="2" t="n">
        <v>3.3</v>
      </c>
      <c r="L254" s="2" t="inlineStr">
        <is>
          <t>有效</t>
        </is>
      </c>
      <c r="M254" s="3" t="inlineStr"/>
      <c r="N254" s="2">
        <f>(G254-H254)/G254</f>
        <v/>
      </c>
      <c r="O254" s="2">
        <f>G254-H254</f>
        <v/>
      </c>
    </row>
    <row r="255">
      <c r="A255" s="2" t="n">
        <v>255</v>
      </c>
      <c r="B255" s="2" t="inlineStr">
        <is>
          <t>OD00254</t>
        </is>
      </c>
      <c r="C255" s="2" t="inlineStr">
        <is>
          <t>2026-03-24</t>
        </is>
      </c>
      <c r="D255" s="2" t="inlineStr">
        <is>
          <t>杭州</t>
        </is>
      </c>
      <c r="E255" s="2" t="inlineStr">
        <is>
          <t>企业团购</t>
        </is>
      </c>
      <c r="F255" s="2" t="inlineStr">
        <is>
          <t>茶饮</t>
        </is>
      </c>
      <c r="G255" s="2" t="n">
        <v>143</v>
      </c>
      <c r="H255" s="2" t="n">
        <v>69</v>
      </c>
      <c r="I255" s="2" t="n">
        <v>57</v>
      </c>
      <c r="J255" s="2" t="inlineStr">
        <is>
          <t>否</t>
        </is>
      </c>
      <c r="K255" s="2" t="n">
        <v>4.7</v>
      </c>
      <c r="L255" s="2" t="inlineStr">
        <is>
          <t>有效</t>
        </is>
      </c>
      <c r="M255" s="3" t="inlineStr"/>
      <c r="N255" s="2">
        <f>(G255-H255)/G255</f>
        <v/>
      </c>
      <c r="O255" s="2">
        <f>G255-H255</f>
        <v/>
      </c>
    </row>
    <row r="256">
      <c r="A256" s="2" t="n">
        <v>256</v>
      </c>
      <c r="B256" s="2" t="inlineStr">
        <is>
          <t>OD00255</t>
        </is>
      </c>
      <c r="C256" s="2" t="inlineStr">
        <is>
          <t>2026-04-04</t>
        </is>
      </c>
      <c r="D256" s="2" t="inlineStr">
        <is>
          <t>苏州</t>
        </is>
      </c>
      <c r="E256" s="2" t="inlineStr">
        <is>
          <t>企业团购</t>
        </is>
      </c>
      <c r="F256" s="2" t="inlineStr">
        <is>
          <t>咖啡</t>
        </is>
      </c>
      <c r="G256" s="2" t="n">
        <v>461</v>
      </c>
      <c r="H256" s="2" t="n">
        <v>344</v>
      </c>
      <c r="I256" s="2" t="n">
        <v>23</v>
      </c>
      <c r="J256" s="2" t="inlineStr">
        <is>
          <t>否</t>
        </is>
      </c>
      <c r="K256" s="2" t="n">
        <v>3.6</v>
      </c>
      <c r="L256" s="2" t="inlineStr">
        <is>
          <t>有效</t>
        </is>
      </c>
      <c r="M256" s="3" t="inlineStr"/>
      <c r="N256" s="2">
        <f>(G256-H256)/G256</f>
        <v/>
      </c>
      <c r="O256" s="2">
        <f>G256-H256</f>
        <v/>
      </c>
    </row>
    <row r="257">
      <c r="A257" s="2" t="n">
        <v>257</v>
      </c>
      <c r="B257" s="2" t="inlineStr">
        <is>
          <t>OD00256</t>
        </is>
      </c>
      <c r="C257" s="2" t="inlineStr">
        <is>
          <t>2026-05-11</t>
        </is>
      </c>
      <c r="D257" s="2" t="inlineStr">
        <is>
          <t>合肥</t>
        </is>
      </c>
      <c r="E257" s="2" t="inlineStr">
        <is>
          <t>小程序</t>
        </is>
      </c>
      <c r="F257" s="2" t="inlineStr">
        <is>
          <t>茶饮</t>
        </is>
      </c>
      <c r="G257" s="2" t="n">
        <v>390</v>
      </c>
      <c r="H257" s="2" t="n">
        <v>204</v>
      </c>
      <c r="I257" s="2" t="n">
        <v>86</v>
      </c>
      <c r="J257" s="2" t="inlineStr">
        <is>
          <t>否</t>
        </is>
      </c>
      <c r="K257" s="2" t="n">
        <v>4.8</v>
      </c>
      <c r="L257" s="2" t="inlineStr">
        <is>
          <t>有效</t>
        </is>
      </c>
      <c r="M257" s="3" t="inlineStr"/>
      <c r="N257" s="2">
        <f>(G257-H257)/G257</f>
        <v/>
      </c>
      <c r="O257" s="2">
        <f>G257-H257</f>
        <v/>
      </c>
    </row>
    <row r="258">
      <c r="A258" s="2" t="n">
        <v>258</v>
      </c>
      <c r="B258" s="2" t="inlineStr">
        <is>
          <t>OD00257</t>
        </is>
      </c>
      <c r="C258" s="2" t="inlineStr">
        <is>
          <t>2026-06-18</t>
        </is>
      </c>
      <c r="D258" s="2" t="inlineStr">
        <is>
          <t>宁波</t>
        </is>
      </c>
      <c r="E258" s="2" t="inlineStr">
        <is>
          <t>小程序</t>
        </is>
      </c>
      <c r="F258" s="2" t="inlineStr">
        <is>
          <t>茶饮</t>
        </is>
      </c>
      <c r="G258" s="2" t="n">
        <v>102</v>
      </c>
      <c r="H258" s="2" t="n">
        <v>68</v>
      </c>
      <c r="I258" s="2" t="n">
        <v>71</v>
      </c>
      <c r="J258" s="2" t="inlineStr">
        <is>
          <t>否</t>
        </is>
      </c>
      <c r="K258" s="2" t="n">
        <v>3.6</v>
      </c>
      <c r="L258" s="2" t="inlineStr">
        <is>
          <t>有效</t>
        </is>
      </c>
      <c r="M258" s="3" t="inlineStr"/>
      <c r="N258" s="2">
        <f>(G258-H258)/G258</f>
        <v/>
      </c>
      <c r="O258" s="2">
        <f>G258-H258</f>
        <v/>
      </c>
    </row>
    <row r="259">
      <c r="A259" s="2" t="n">
        <v>259</v>
      </c>
      <c r="B259" s="2" t="inlineStr">
        <is>
          <t>OD00258</t>
        </is>
      </c>
      <c r="C259" s="2" t="inlineStr">
        <is>
          <t>2026-07-25</t>
        </is>
      </c>
      <c r="D259" s="2" t="inlineStr">
        <is>
          <t>上海</t>
        </is>
      </c>
      <c r="E259" s="2" t="inlineStr">
        <is>
          <t>企业团购</t>
        </is>
      </c>
      <c r="F259" s="2" t="inlineStr">
        <is>
          <t>茶饮</t>
        </is>
      </c>
      <c r="G259" s="2" t="n">
        <v>45</v>
      </c>
      <c r="H259" s="2" t="n">
        <v>27</v>
      </c>
      <c r="I259" s="2" t="n">
        <v>14</v>
      </c>
      <c r="J259" s="2" t="inlineStr">
        <is>
          <t>否</t>
        </is>
      </c>
      <c r="K259" s="2" t="n">
        <v>3.8</v>
      </c>
      <c r="L259" s="2" t="inlineStr">
        <is>
          <t>有效</t>
        </is>
      </c>
      <c r="M259" s="3" t="inlineStr"/>
      <c r="N259" s="2">
        <f>(G259-H259)/G259</f>
        <v/>
      </c>
      <c r="O259" s="2">
        <f>G259-H259</f>
        <v/>
      </c>
    </row>
    <row r="260">
      <c r="A260" s="2" t="n">
        <v>260</v>
      </c>
      <c r="B260" s="2" t="inlineStr">
        <is>
          <t>OD00259</t>
        </is>
      </c>
      <c r="C260" s="2" t="inlineStr">
        <is>
          <t>2026-08-05</t>
        </is>
      </c>
      <c r="D260" s="2" t="inlineStr">
        <is>
          <t>苏州</t>
        </is>
      </c>
      <c r="E260" s="2" t="inlineStr">
        <is>
          <t>企业团购</t>
        </is>
      </c>
      <c r="F260" s="2" t="inlineStr">
        <is>
          <t>轻食</t>
        </is>
      </c>
      <c r="G260" s="2" t="n">
        <v>540</v>
      </c>
      <c r="H260" s="2" t="n">
        <v>401</v>
      </c>
      <c r="I260" s="2" t="n">
        <v>82</v>
      </c>
      <c r="J260" s="2" t="inlineStr">
        <is>
          <t>否</t>
        </is>
      </c>
      <c r="K260" s="2" t="n">
        <v>3.6</v>
      </c>
      <c r="L260" s="2" t="inlineStr">
        <is>
          <t>有效</t>
        </is>
      </c>
      <c r="M260" s="3" t="inlineStr"/>
      <c r="N260" s="2">
        <f>(G260-H260)/G260</f>
        <v/>
      </c>
      <c r="O260" s="2">
        <f>G260-H260</f>
        <v/>
      </c>
    </row>
    <row r="261">
      <c r="A261" s="2" t="n">
        <v>261</v>
      </c>
      <c r="B261" s="2" t="inlineStr">
        <is>
          <t>OD00260</t>
        </is>
      </c>
      <c r="C261" s="2" t="inlineStr">
        <is>
          <t>2026-09-12</t>
        </is>
      </c>
      <c r="D261" s="2" t="inlineStr">
        <is>
          <t>南京</t>
        </is>
      </c>
      <c r="E261" s="2" t="inlineStr">
        <is>
          <t>门店</t>
        </is>
      </c>
      <c r="F261" s="2" t="inlineStr">
        <is>
          <t>轻食</t>
        </is>
      </c>
      <c r="G261" s="2" t="n">
        <v>283</v>
      </c>
      <c r="H261" s="2" t="n">
        <v>187</v>
      </c>
      <c r="I261" s="2" t="n">
        <v>82</v>
      </c>
      <c r="J261" s="2" t="inlineStr">
        <is>
          <t>否</t>
        </is>
      </c>
      <c r="K261" s="2" t="n">
        <v>3.3</v>
      </c>
      <c r="L261" s="2" t="inlineStr">
        <is>
          <t>有效</t>
        </is>
      </c>
      <c r="M261" s="3" t="inlineStr"/>
      <c r="N261" s="2">
        <f>(G261-H261)/G261</f>
        <v/>
      </c>
      <c r="O261" s="2">
        <f>G261-H261</f>
        <v/>
      </c>
    </row>
    <row r="262">
      <c r="A262" s="2" t="n">
        <v>262</v>
      </c>
      <c r="B262" s="2" t="inlineStr">
        <is>
          <t>OD00261</t>
        </is>
      </c>
      <c r="C262" s="2" t="inlineStr">
        <is>
          <t>2026-10-19</t>
        </is>
      </c>
      <c r="D262" s="2" t="inlineStr">
        <is>
          <t>杭州</t>
        </is>
      </c>
      <c r="E262" s="2" t="inlineStr">
        <is>
          <t>门店</t>
        </is>
      </c>
      <c r="F262" s="2" t="inlineStr">
        <is>
          <t>茶饮</t>
        </is>
      </c>
      <c r="G262" s="2" t="n">
        <v>303</v>
      </c>
      <c r="H262" s="2" t="n">
        <v>176</v>
      </c>
      <c r="I262" s="2" t="n">
        <v>85</v>
      </c>
      <c r="J262" s="2" t="inlineStr">
        <is>
          <t>否</t>
        </is>
      </c>
      <c r="K262" s="2" t="n">
        <v>4.8</v>
      </c>
      <c r="L262" s="2" t="inlineStr">
        <is>
          <t>有效</t>
        </is>
      </c>
      <c r="M262" s="3" t="inlineStr"/>
      <c r="N262" s="2">
        <f>(G262-H262)/G262</f>
        <v/>
      </c>
      <c r="O262" s="2">
        <f>G262-H262</f>
        <v/>
      </c>
    </row>
    <row r="263">
      <c r="A263" s="2" t="n">
        <v>263</v>
      </c>
      <c r="B263" s="2" t="inlineStr">
        <is>
          <t>OD00262</t>
        </is>
      </c>
      <c r="C263" s="2" t="inlineStr">
        <is>
          <t>2026-11-26</t>
        </is>
      </c>
      <c r="D263" s="2" t="inlineStr">
        <is>
          <t>杭州</t>
        </is>
      </c>
      <c r="E263" s="2" t="inlineStr">
        <is>
          <t>小程序</t>
        </is>
      </c>
      <c r="F263" s="2" t="inlineStr">
        <is>
          <t>茶饮</t>
        </is>
      </c>
      <c r="G263" s="2" t="n">
        <v>604</v>
      </c>
      <c r="H263" s="2" t="n">
        <v>352</v>
      </c>
      <c r="I263" s="2" t="n">
        <v>29</v>
      </c>
      <c r="J263" s="2" t="inlineStr">
        <is>
          <t>否</t>
        </is>
      </c>
      <c r="K263" s="2" t="n">
        <v>4.9</v>
      </c>
      <c r="L263" s="2" t="inlineStr">
        <is>
          <t>有效</t>
        </is>
      </c>
      <c r="M263" s="3" t="inlineStr"/>
      <c r="N263" s="2">
        <f>(G263-H263)/G263</f>
        <v/>
      </c>
      <c r="O263" s="2">
        <f>G263-H263</f>
        <v/>
      </c>
    </row>
    <row r="264">
      <c r="A264" s="2" t="n">
        <v>264</v>
      </c>
      <c r="B264" s="2" t="inlineStr">
        <is>
          <t>OD00263</t>
        </is>
      </c>
      <c r="C264" s="2" t="inlineStr">
        <is>
          <t>2026-12-06</t>
        </is>
      </c>
      <c r="D264" s="2" t="inlineStr">
        <is>
          <t>苏州</t>
        </is>
      </c>
      <c r="E264" s="2" t="inlineStr">
        <is>
          <t>门店</t>
        </is>
      </c>
      <c r="F264" s="2" t="inlineStr">
        <is>
          <t>轻食</t>
        </is>
      </c>
      <c r="G264" s="2" t="n">
        <v>599</v>
      </c>
      <c r="H264" s="2" t="n">
        <v>295</v>
      </c>
      <c r="I264" s="2" t="n">
        <v>39</v>
      </c>
      <c r="J264" s="2" t="inlineStr">
        <is>
          <t>是</t>
        </is>
      </c>
      <c r="K264" s="2" t="n">
        <v>3.6</v>
      </c>
      <c r="L264" s="2" t="inlineStr">
        <is>
          <t>有效</t>
        </is>
      </c>
      <c r="M264" s="3" t="inlineStr"/>
      <c r="N264" s="2">
        <f>(G264-H264)/G264</f>
        <v/>
      </c>
      <c r="O264" s="2">
        <f>G264-H264</f>
        <v/>
      </c>
    </row>
    <row r="265">
      <c r="A265" s="2" t="n">
        <v>265</v>
      </c>
      <c r="B265" s="2" t="inlineStr">
        <is>
          <t>OD00264</t>
        </is>
      </c>
      <c r="C265" s="2" t="inlineStr">
        <is>
          <t>2026-01-13</t>
        </is>
      </c>
      <c r="D265" s="2" t="inlineStr">
        <is>
          <t>合肥</t>
        </is>
      </c>
      <c r="E265" s="2" t="inlineStr">
        <is>
          <t>外卖平台</t>
        </is>
      </c>
      <c r="F265" s="2" t="inlineStr">
        <is>
          <t>烘焙</t>
        </is>
      </c>
      <c r="G265" s="2" t="n">
        <v>462</v>
      </c>
      <c r="H265" s="2" t="n">
        <v>267</v>
      </c>
      <c r="I265" s="2" t="n">
        <v>92</v>
      </c>
      <c r="J265" s="2" t="inlineStr">
        <is>
          <t>否</t>
        </is>
      </c>
      <c r="K265" s="2" t="n">
        <v>4.4</v>
      </c>
      <c r="L265" s="2" t="inlineStr">
        <is>
          <t>有效</t>
        </is>
      </c>
      <c r="M265" s="3" t="inlineStr"/>
      <c r="N265" s="2">
        <f>(G265-H265)/G265</f>
        <v/>
      </c>
      <c r="O265" s="2">
        <f>G265-H265</f>
        <v/>
      </c>
    </row>
    <row r="266">
      <c r="A266" s="2" t="n">
        <v>266</v>
      </c>
      <c r="B266" s="2" t="inlineStr">
        <is>
          <t>OD00265</t>
        </is>
      </c>
      <c r="C266" s="2" t="inlineStr">
        <is>
          <t>2026-02-20</t>
        </is>
      </c>
      <c r="D266" s="2" t="inlineStr">
        <is>
          <t>南京</t>
        </is>
      </c>
      <c r="E266" s="2" t="inlineStr">
        <is>
          <t>门店</t>
        </is>
      </c>
      <c r="F266" s="2" t="inlineStr">
        <is>
          <t>咖啡</t>
        </is>
      </c>
      <c r="G266" s="2" t="n">
        <v>465</v>
      </c>
      <c r="H266" s="2" t="n">
        <v>202</v>
      </c>
      <c r="I266" s="2" t="n">
        <v>93</v>
      </c>
      <c r="J266" s="2" t="inlineStr">
        <is>
          <t>否</t>
        </is>
      </c>
      <c r="K266" s="2" t="n">
        <v>3.5</v>
      </c>
      <c r="L266" s="2" t="inlineStr">
        <is>
          <t>有效</t>
        </is>
      </c>
      <c r="M266" s="3" t="inlineStr"/>
      <c r="N266" s="2">
        <f>(G266-H266)/G266</f>
        <v/>
      </c>
      <c r="O266" s="2">
        <f>G266-H266</f>
        <v/>
      </c>
    </row>
    <row r="267">
      <c r="A267" s="2" t="n">
        <v>267</v>
      </c>
      <c r="B267" s="2" t="inlineStr">
        <is>
          <t>OD00266</t>
        </is>
      </c>
      <c r="C267" s="2" t="inlineStr">
        <is>
          <t>2026-03-27</t>
        </is>
      </c>
      <c r="D267" s="2" t="inlineStr">
        <is>
          <t>苏州</t>
        </is>
      </c>
      <c r="E267" s="2" t="inlineStr">
        <is>
          <t>门店</t>
        </is>
      </c>
      <c r="F267" s="2" t="inlineStr">
        <is>
          <t>茶饮</t>
        </is>
      </c>
      <c r="G267" s="2" t="n">
        <v>158</v>
      </c>
      <c r="H267" s="2" t="n">
        <v>117</v>
      </c>
      <c r="I267" s="2" t="n">
        <v>16</v>
      </c>
      <c r="J267" s="2" t="inlineStr">
        <is>
          <t>否</t>
        </is>
      </c>
      <c r="K267" s="2" t="n">
        <v>3.8</v>
      </c>
      <c r="L267" s="2" t="inlineStr">
        <is>
          <t>有效</t>
        </is>
      </c>
      <c r="M267" s="3" t="inlineStr"/>
      <c r="N267" s="2">
        <f>(G267-H267)/G267</f>
        <v/>
      </c>
      <c r="O267" s="2">
        <f>G267-H267</f>
        <v/>
      </c>
    </row>
    <row r="268">
      <c r="A268" s="2" t="n">
        <v>268</v>
      </c>
      <c r="B268" s="2" t="inlineStr">
        <is>
          <t>OD00267</t>
        </is>
      </c>
      <c r="C268" s="2" t="inlineStr">
        <is>
          <t>2026-04-07</t>
        </is>
      </c>
      <c r="D268" s="2" t="inlineStr">
        <is>
          <t>杭州</t>
        </is>
      </c>
      <c r="E268" s="2" t="inlineStr">
        <is>
          <t>企业团购</t>
        </is>
      </c>
      <c r="F268" s="2" t="inlineStr">
        <is>
          <t>茶饮</t>
        </is>
      </c>
      <c r="G268" s="2" t="n">
        <v>437</v>
      </c>
      <c r="H268" s="2" t="n">
        <v>218</v>
      </c>
      <c r="I268" s="2" t="n">
        <v>91</v>
      </c>
      <c r="J268" s="2" t="inlineStr">
        <is>
          <t>否</t>
        </is>
      </c>
      <c r="K268" s="2" t="n">
        <v>3.8</v>
      </c>
      <c r="L268" s="2" t="inlineStr">
        <is>
          <t>有效</t>
        </is>
      </c>
      <c r="M268" s="3" t="inlineStr"/>
      <c r="N268" s="2">
        <f>(G268-H268)/G268</f>
        <v/>
      </c>
      <c r="O268" s="2">
        <f>G268-H268</f>
        <v/>
      </c>
    </row>
    <row r="269">
      <c r="A269" s="2" t="n">
        <v>269</v>
      </c>
      <c r="B269" s="2" t="inlineStr">
        <is>
          <t>OD00268</t>
        </is>
      </c>
      <c r="C269" s="2" t="inlineStr">
        <is>
          <t>2026-05-14</t>
        </is>
      </c>
      <c r="D269" s="2" t="inlineStr">
        <is>
          <t>杭州</t>
        </is>
      </c>
      <c r="E269" s="2" t="inlineStr">
        <is>
          <t>外卖平台</t>
        </is>
      </c>
      <c r="F269" s="2" t="inlineStr">
        <is>
          <t>茶饮</t>
        </is>
      </c>
      <c r="G269" s="2" t="n">
        <v>514</v>
      </c>
      <c r="H269" s="2" t="n">
        <v>319</v>
      </c>
      <c r="I269" s="2" t="n">
        <v>54</v>
      </c>
      <c r="J269" s="2" t="inlineStr">
        <is>
          <t>否</t>
        </is>
      </c>
      <c r="K269" s="2" t="n">
        <v>4.8</v>
      </c>
      <c r="L269" s="2" t="inlineStr">
        <is>
          <t>有效</t>
        </is>
      </c>
      <c r="M269" s="3" t="inlineStr"/>
      <c r="N269" s="2">
        <f>(G269-H269)/G269</f>
        <v/>
      </c>
      <c r="O269" s="2">
        <f>G269-H269</f>
        <v/>
      </c>
    </row>
    <row r="270">
      <c r="A270" s="2" t="n">
        <v>270</v>
      </c>
      <c r="B270" s="2" t="inlineStr">
        <is>
          <t>OD00269</t>
        </is>
      </c>
      <c r="C270" s="2" t="inlineStr">
        <is>
          <t>2026-06-21</t>
        </is>
      </c>
      <c r="D270" s="2" t="inlineStr">
        <is>
          <t>合肥</t>
        </is>
      </c>
      <c r="E270" s="2" t="inlineStr">
        <is>
          <t>门店</t>
        </is>
      </c>
      <c r="F270" s="2" t="inlineStr">
        <is>
          <t>轻食</t>
        </is>
      </c>
      <c r="G270" s="2" t="n">
        <v>663</v>
      </c>
      <c r="H270" s="2" t="n">
        <v>287</v>
      </c>
      <c r="I270" s="2" t="n">
        <v>47</v>
      </c>
      <c r="J270" s="2" t="inlineStr">
        <is>
          <t>是</t>
        </is>
      </c>
      <c r="K270" s="2" t="n">
        <v>3.9</v>
      </c>
      <c r="L270" s="2" t="inlineStr">
        <is>
          <t>有效</t>
        </is>
      </c>
      <c r="M270" s="3" t="inlineStr"/>
      <c r="N270" s="2">
        <f>(G270-H270)/G270</f>
        <v/>
      </c>
      <c r="O270" s="2">
        <f>G270-H270</f>
        <v/>
      </c>
    </row>
    <row r="271">
      <c r="A271" s="2" t="n">
        <v>271</v>
      </c>
      <c r="B271" s="2" t="inlineStr">
        <is>
          <t>OD00270</t>
        </is>
      </c>
      <c r="C271" s="2" t="inlineStr">
        <is>
          <t>2026-07-01</t>
        </is>
      </c>
      <c r="D271" s="2" t="inlineStr">
        <is>
          <t>宁波</t>
        </is>
      </c>
      <c r="E271" s="2" t="inlineStr">
        <is>
          <t>外卖平台</t>
        </is>
      </c>
      <c r="F271" s="2" t="inlineStr">
        <is>
          <t>烘焙</t>
        </is>
      </c>
      <c r="G271" s="2" t="n">
        <v>659</v>
      </c>
      <c r="H271" s="2" t="n">
        <v>493</v>
      </c>
      <c r="I271" s="2" t="n">
        <v>17</v>
      </c>
      <c r="J271" s="2" t="inlineStr">
        <is>
          <t>否</t>
        </is>
      </c>
      <c r="K271" s="2" t="n">
        <v>4.4</v>
      </c>
      <c r="L271" s="2" t="inlineStr">
        <is>
          <t>有效</t>
        </is>
      </c>
      <c r="M271" s="3" t="inlineStr"/>
      <c r="N271" s="2">
        <f>(G271-H271)/G271</f>
        <v/>
      </c>
      <c r="O271" s="2">
        <f>G271-H271</f>
        <v/>
      </c>
    </row>
    <row r="272">
      <c r="A272" s="2" t="n">
        <v>272</v>
      </c>
      <c r="B272" s="2" t="inlineStr">
        <is>
          <t>OD00271</t>
        </is>
      </c>
      <c r="C272" s="2" t="inlineStr">
        <is>
          <t>2026-08-08</t>
        </is>
      </c>
      <c r="D272" s="2" t="inlineStr">
        <is>
          <t>杭州</t>
        </is>
      </c>
      <c r="E272" s="2" t="inlineStr">
        <is>
          <t>小程序</t>
        </is>
      </c>
      <c r="F272" s="2" t="inlineStr">
        <is>
          <t>茶饮</t>
        </is>
      </c>
      <c r="G272" s="2" t="n">
        <v>460</v>
      </c>
      <c r="H272" s="2" t="n">
        <v>255</v>
      </c>
      <c r="I272" s="2" t="n">
        <v>65</v>
      </c>
      <c r="J272" s="2" t="inlineStr">
        <is>
          <t>否</t>
        </is>
      </c>
      <c r="K272" s="2" t="n">
        <v>4.5</v>
      </c>
      <c r="L272" s="2" t="inlineStr">
        <is>
          <t>有效</t>
        </is>
      </c>
      <c r="M272" s="3" t="inlineStr"/>
      <c r="N272" s="2">
        <f>(G272-H272)/G272</f>
        <v/>
      </c>
      <c r="O272" s="2">
        <f>G272-H272</f>
        <v/>
      </c>
    </row>
    <row r="273">
      <c r="A273" s="2" t="n">
        <v>273</v>
      </c>
      <c r="B273" s="2" t="inlineStr">
        <is>
          <t>OD00272</t>
        </is>
      </c>
      <c r="C273" s="2" t="inlineStr">
        <is>
          <t>2026-09-15</t>
        </is>
      </c>
      <c r="D273" s="2" t="inlineStr">
        <is>
          <t>合肥</t>
        </is>
      </c>
      <c r="E273" s="2" t="inlineStr">
        <is>
          <t>企业团购</t>
        </is>
      </c>
      <c r="F273" s="2" t="inlineStr">
        <is>
          <t>周边</t>
        </is>
      </c>
      <c r="G273" s="2" t="n">
        <v>352</v>
      </c>
      <c r="H273" s="2" t="n">
        <v>233</v>
      </c>
      <c r="I273" s="2" t="n">
        <v>39</v>
      </c>
      <c r="J273" s="2" t="inlineStr">
        <is>
          <t>否</t>
        </is>
      </c>
      <c r="K273" s="2" t="n">
        <v>4.8</v>
      </c>
      <c r="L273" s="2" t="inlineStr">
        <is>
          <t>有效</t>
        </is>
      </c>
      <c r="M273" s="3" t="inlineStr"/>
      <c r="N273" s="2">
        <f>(G273-H273)/G273</f>
        <v/>
      </c>
      <c r="O273" s="2">
        <f>G273-H273</f>
        <v/>
      </c>
    </row>
    <row r="274">
      <c r="A274" s="2" t="n">
        <v>274</v>
      </c>
      <c r="B274" s="2" t="inlineStr">
        <is>
          <t>OD00273</t>
        </is>
      </c>
      <c r="C274" s="2" t="inlineStr">
        <is>
          <t>2026-10-22</t>
        </is>
      </c>
      <c r="D274" s="2" t="inlineStr">
        <is>
          <t>上海</t>
        </is>
      </c>
      <c r="E274" s="2" t="inlineStr">
        <is>
          <t>企业团购</t>
        </is>
      </c>
      <c r="F274" s="2" t="inlineStr">
        <is>
          <t>轻食</t>
        </is>
      </c>
      <c r="G274" s="2" t="n">
        <v>205</v>
      </c>
      <c r="H274" s="2" t="n">
        <v>127</v>
      </c>
      <c r="I274" s="2" t="n">
        <v>94</v>
      </c>
      <c r="J274" s="2" t="inlineStr">
        <is>
          <t>否</t>
        </is>
      </c>
      <c r="K274" s="2" t="n">
        <v>4.9</v>
      </c>
      <c r="L274" s="2" t="inlineStr">
        <is>
          <t>有效</t>
        </is>
      </c>
      <c r="M274" s="3" t="inlineStr"/>
      <c r="N274" s="2">
        <f>(G274-H274)/G274</f>
        <v/>
      </c>
      <c r="O274" s="2">
        <f>G274-H274</f>
        <v/>
      </c>
    </row>
    <row r="275">
      <c r="A275" s="2" t="n">
        <v>275</v>
      </c>
      <c r="B275" s="2" t="inlineStr">
        <is>
          <t>OD00274</t>
        </is>
      </c>
      <c r="C275" s="2" t="inlineStr">
        <is>
          <t>2026-11-02</t>
        </is>
      </c>
      <c r="D275" s="2" t="inlineStr">
        <is>
          <t>宁波</t>
        </is>
      </c>
      <c r="E275" s="2" t="inlineStr">
        <is>
          <t>小程序</t>
        </is>
      </c>
      <c r="F275" s="2" t="inlineStr">
        <is>
          <t>烘焙</t>
        </is>
      </c>
      <c r="G275" s="2" t="n">
        <v>187</v>
      </c>
      <c r="H275" s="2" t="n">
        <v>104</v>
      </c>
      <c r="I275" s="2" t="n">
        <v>83</v>
      </c>
      <c r="J275" s="2" t="inlineStr">
        <is>
          <t>否</t>
        </is>
      </c>
      <c r="K275" s="2" t="n">
        <v>4.1</v>
      </c>
      <c r="L275" s="2" t="inlineStr">
        <is>
          <t>有效</t>
        </is>
      </c>
      <c r="M275" s="3" t="inlineStr"/>
      <c r="N275" s="2">
        <f>(G275-H275)/G275</f>
        <v/>
      </c>
      <c r="O275" s="2">
        <f>G275-H275</f>
        <v/>
      </c>
    </row>
    <row r="276">
      <c r="A276" s="2" t="n">
        <v>276</v>
      </c>
      <c r="B276" s="2" t="inlineStr">
        <is>
          <t>OD00275</t>
        </is>
      </c>
      <c r="C276" s="2" t="inlineStr">
        <is>
          <t>2026-12-09</t>
        </is>
      </c>
      <c r="D276" s="2" t="inlineStr">
        <is>
          <t>苏州</t>
        </is>
      </c>
      <c r="E276" s="2" t="inlineStr">
        <is>
          <t>企业团购</t>
        </is>
      </c>
      <c r="F276" s="2" t="inlineStr">
        <is>
          <t>咖啡</t>
        </is>
      </c>
      <c r="G276" s="2" t="n">
        <v>375</v>
      </c>
      <c r="H276" s="2" t="n">
        <v>208</v>
      </c>
      <c r="I276" s="2" t="n">
        <v>73</v>
      </c>
      <c r="J276" s="2" t="inlineStr">
        <is>
          <t>否</t>
        </is>
      </c>
      <c r="K276" s="2" t="n">
        <v>3.9</v>
      </c>
      <c r="L276" s="2" t="inlineStr">
        <is>
          <t>有效</t>
        </is>
      </c>
      <c r="M276" s="3" t="inlineStr"/>
      <c r="N276" s="2">
        <f>(G276-H276)/G276</f>
        <v/>
      </c>
      <c r="O276" s="2">
        <f>G276-H276</f>
        <v/>
      </c>
    </row>
    <row r="277">
      <c r="A277" s="2" t="n">
        <v>277</v>
      </c>
      <c r="B277" s="2" t="inlineStr">
        <is>
          <t>OD00276</t>
        </is>
      </c>
      <c r="C277" s="2" t="inlineStr">
        <is>
          <t>2026-01-16</t>
        </is>
      </c>
      <c r="D277" s="2" t="inlineStr">
        <is>
          <t>合肥</t>
        </is>
      </c>
      <c r="E277" s="2" t="inlineStr">
        <is>
          <t>门店</t>
        </is>
      </c>
      <c r="F277" s="2" t="inlineStr">
        <is>
          <t>咖啡</t>
        </is>
      </c>
      <c r="G277" s="2" t="n">
        <v>403</v>
      </c>
      <c r="H277" s="2" t="n">
        <v>239</v>
      </c>
      <c r="I277" s="2" t="n">
        <v>74</v>
      </c>
      <c r="J277" s="2" t="inlineStr">
        <is>
          <t>否</t>
        </is>
      </c>
      <c r="K277" s="2" t="n">
        <v>4.7</v>
      </c>
      <c r="L277" s="2" t="inlineStr">
        <is>
          <t>有效</t>
        </is>
      </c>
      <c r="M277" s="3" t="inlineStr"/>
      <c r="N277" s="2">
        <f>(G277-H277)/G277</f>
        <v/>
      </c>
      <c r="O277" s="2">
        <f>G277-H277</f>
        <v/>
      </c>
    </row>
    <row r="278">
      <c r="A278" s="2" t="n">
        <v>278</v>
      </c>
      <c r="B278" s="2" t="inlineStr">
        <is>
          <t>OD00277</t>
        </is>
      </c>
      <c r="C278" s="2" t="inlineStr">
        <is>
          <t>2026-02-23</t>
        </is>
      </c>
      <c r="D278" s="2" t="inlineStr">
        <is>
          <t>上海</t>
        </is>
      </c>
      <c r="E278" s="2" t="inlineStr">
        <is>
          <t>门店</t>
        </is>
      </c>
      <c r="F278" s="2" t="inlineStr">
        <is>
          <t>轻食</t>
        </is>
      </c>
      <c r="G278" s="2" t="n">
        <v>655</v>
      </c>
      <c r="H278" s="2" t="n">
        <v>305</v>
      </c>
      <c r="I278" s="2" t="n">
        <v>66</v>
      </c>
      <c r="J278" s="2" t="inlineStr">
        <is>
          <t>是</t>
        </is>
      </c>
      <c r="K278" s="2" t="n">
        <v>3.4</v>
      </c>
      <c r="L278" s="2" t="inlineStr">
        <is>
          <t>有效</t>
        </is>
      </c>
      <c r="M278" s="3" t="inlineStr"/>
      <c r="N278" s="2">
        <f>(G278-H278)/G278</f>
        <v/>
      </c>
      <c r="O278" s="2">
        <f>G278-H278</f>
        <v/>
      </c>
    </row>
    <row r="279">
      <c r="A279" s="2" t="n">
        <v>279</v>
      </c>
      <c r="B279" s="2" t="inlineStr">
        <is>
          <t>OD00278</t>
        </is>
      </c>
      <c r="C279" s="2" t="inlineStr">
        <is>
          <t>2026-03-03</t>
        </is>
      </c>
      <c r="D279" s="2" t="inlineStr">
        <is>
          <t>宁波</t>
        </is>
      </c>
      <c r="E279" s="2" t="inlineStr">
        <is>
          <t>企业团购</t>
        </is>
      </c>
      <c r="F279" s="2" t="inlineStr">
        <is>
          <t>茶饮</t>
        </is>
      </c>
      <c r="G279" s="2" t="n">
        <v>552</v>
      </c>
      <c r="H279" s="2" t="n">
        <v>328</v>
      </c>
      <c r="I279" s="2" t="n">
        <v>56</v>
      </c>
      <c r="J279" s="2" t="inlineStr">
        <is>
          <t>否</t>
        </is>
      </c>
      <c r="K279" s="2" t="n">
        <v>3.1</v>
      </c>
      <c r="L279" s="2" t="inlineStr">
        <is>
          <t>有效</t>
        </is>
      </c>
      <c r="M279" s="3" t="inlineStr"/>
      <c r="N279" s="2">
        <f>(G279-H279)/G279</f>
        <v/>
      </c>
      <c r="O279" s="2">
        <f>G279-H279</f>
        <v/>
      </c>
    </row>
    <row r="280">
      <c r="A280" s="2" t="n">
        <v>280</v>
      </c>
      <c r="B280" s="2" t="inlineStr">
        <is>
          <t>OD00279</t>
        </is>
      </c>
      <c r="C280" s="2" t="inlineStr">
        <is>
          <t>2026-04-10</t>
        </is>
      </c>
      <c r="D280" s="2" t="inlineStr">
        <is>
          <t>苏州</t>
        </is>
      </c>
      <c r="E280" s="2" t="inlineStr">
        <is>
          <t>小程序</t>
        </is>
      </c>
      <c r="F280" s="2" t="inlineStr">
        <is>
          <t>烘焙</t>
        </is>
      </c>
      <c r="G280" s="2" t="n">
        <v>459</v>
      </c>
      <c r="H280" s="2" t="n">
        <v>217</v>
      </c>
      <c r="I280" s="2" t="n">
        <v>49</v>
      </c>
      <c r="J280" s="2" t="inlineStr">
        <is>
          <t>否</t>
        </is>
      </c>
      <c r="K280" s="2" t="n">
        <v>4.6</v>
      </c>
      <c r="L280" s="2" t="inlineStr">
        <is>
          <t>有效</t>
        </is>
      </c>
      <c r="M280" s="3" t="inlineStr"/>
      <c r="N280" s="2">
        <f>(G280-H280)/G280</f>
        <v/>
      </c>
      <c r="O280" s="2">
        <f>G280-H280</f>
        <v/>
      </c>
    </row>
    <row r="281">
      <c r="A281" s="2" t="n">
        <v>281</v>
      </c>
      <c r="B281" s="2" t="inlineStr">
        <is>
          <t>OD00280</t>
        </is>
      </c>
      <c r="C281" s="2" t="inlineStr">
        <is>
          <t>2026-05-17</t>
        </is>
      </c>
      <c r="D281" s="2" t="inlineStr">
        <is>
          <t>南京</t>
        </is>
      </c>
      <c r="E281" s="2" t="inlineStr">
        <is>
          <t>小程序</t>
        </is>
      </c>
      <c r="F281" s="2" t="inlineStr">
        <is>
          <t>轻食</t>
        </is>
      </c>
      <c r="G281" s="2" t="n">
        <v>627</v>
      </c>
      <c r="H281" s="2" t="n">
        <v>291</v>
      </c>
      <c r="I281" s="2" t="n">
        <v>23</v>
      </c>
      <c r="J281" s="2" t="inlineStr">
        <is>
          <t>否</t>
        </is>
      </c>
      <c r="K281" s="2" t="n">
        <v>4.9</v>
      </c>
      <c r="L281" s="2" t="inlineStr">
        <is>
          <t>有效</t>
        </is>
      </c>
      <c r="M281" s="3" t="inlineStr"/>
      <c r="N281" s="2">
        <f>(G281-H281)/G281</f>
        <v/>
      </c>
      <c r="O281" s="2">
        <f>G281-H281</f>
        <v/>
      </c>
    </row>
    <row r="282">
      <c r="A282" s="2" t="n">
        <v>282</v>
      </c>
      <c r="B282" s="2" t="inlineStr">
        <is>
          <t>OD00281</t>
        </is>
      </c>
      <c r="C282" s="2" t="inlineStr">
        <is>
          <t>2026-06-24</t>
        </is>
      </c>
      <c r="D282" s="2" t="inlineStr">
        <is>
          <t>宁波</t>
        </is>
      </c>
      <c r="E282" s="2" t="inlineStr">
        <is>
          <t>外卖平台</t>
        </is>
      </c>
      <c r="F282" s="2" t="inlineStr">
        <is>
          <t>茶饮</t>
        </is>
      </c>
      <c r="G282" s="2" t="n">
        <v>474</v>
      </c>
      <c r="H282" s="2" t="n">
        <v>312</v>
      </c>
      <c r="I282" s="2" t="n">
        <v>84</v>
      </c>
      <c r="J282" s="2" t="inlineStr">
        <is>
          <t>否</t>
        </is>
      </c>
      <c r="K282" s="2" t="n">
        <v>3.6</v>
      </c>
      <c r="L282" s="2" t="inlineStr">
        <is>
          <t>有效</t>
        </is>
      </c>
      <c r="M282" s="3" t="inlineStr"/>
      <c r="N282" s="2">
        <f>(G282-H282)/G282</f>
        <v/>
      </c>
      <c r="O282" s="2">
        <f>G282-H282</f>
        <v/>
      </c>
    </row>
    <row r="283">
      <c r="A283" s="2" t="n">
        <v>283</v>
      </c>
      <c r="B283" s="2" t="inlineStr">
        <is>
          <t>OD00282</t>
        </is>
      </c>
      <c r="C283" s="2" t="inlineStr">
        <is>
          <t>2026-07-04</t>
        </is>
      </c>
      <c r="D283" s="2" t="inlineStr">
        <is>
          <t>上海</t>
        </is>
      </c>
      <c r="E283" s="2" t="inlineStr">
        <is>
          <t>企业团购</t>
        </is>
      </c>
      <c r="F283" s="2" t="inlineStr">
        <is>
          <t>烘焙</t>
        </is>
      </c>
      <c r="G283" s="2" t="n">
        <v>320</v>
      </c>
      <c r="H283" s="2" t="n">
        <v>189</v>
      </c>
      <c r="I283" s="2" t="n">
        <v>80</v>
      </c>
      <c r="J283" s="2" t="inlineStr">
        <is>
          <t>否</t>
        </is>
      </c>
      <c r="K283" s="2" t="n">
        <v>4.8</v>
      </c>
      <c r="L283" s="2" t="inlineStr">
        <is>
          <t>有效</t>
        </is>
      </c>
      <c r="M283" s="3" t="inlineStr"/>
      <c r="N283" s="2">
        <f>(G283-H283)/G283</f>
        <v/>
      </c>
      <c r="O283" s="2">
        <f>G283-H283</f>
        <v/>
      </c>
    </row>
    <row r="284">
      <c r="A284" s="2" t="n">
        <v>284</v>
      </c>
      <c r="B284" s="2" t="inlineStr">
        <is>
          <t>OD00283</t>
        </is>
      </c>
      <c r="C284" s="2" t="inlineStr">
        <is>
          <t>2026-08-11</t>
        </is>
      </c>
      <c r="D284" s="2" t="inlineStr">
        <is>
          <t>杭州</t>
        </is>
      </c>
      <c r="E284" s="2" t="inlineStr">
        <is>
          <t>企业团购</t>
        </is>
      </c>
      <c r="F284" s="2" t="inlineStr">
        <is>
          <t>周边</t>
        </is>
      </c>
      <c r="G284" s="2" t="n">
        <v>242</v>
      </c>
      <c r="H284" s="2" t="n">
        <v>168</v>
      </c>
      <c r="I284" s="2" t="n">
        <v>69</v>
      </c>
      <c r="J284" s="2" t="inlineStr">
        <is>
          <t>否</t>
        </is>
      </c>
      <c r="K284" s="2" t="n">
        <v>3.2</v>
      </c>
      <c r="L284" s="2" t="inlineStr">
        <is>
          <t>有效</t>
        </is>
      </c>
      <c r="M284" s="3" t="inlineStr"/>
      <c r="N284" s="2">
        <f>(G284-H284)/G284</f>
        <v/>
      </c>
      <c r="O284" s="2">
        <f>G284-H284</f>
        <v/>
      </c>
    </row>
    <row r="285">
      <c r="A285" s="2" t="n">
        <v>285</v>
      </c>
      <c r="B285" s="2" t="inlineStr">
        <is>
          <t>OD00284</t>
        </is>
      </c>
      <c r="C285" s="2" t="inlineStr">
        <is>
          <t>2026-09-18</t>
        </is>
      </c>
      <c r="D285" s="2" t="inlineStr">
        <is>
          <t>杭州</t>
        </is>
      </c>
      <c r="E285" s="2" t="inlineStr">
        <is>
          <t>企业团购</t>
        </is>
      </c>
      <c r="F285" s="2" t="inlineStr">
        <is>
          <t>轻食</t>
        </is>
      </c>
      <c r="G285" s="2" t="n">
        <v>425</v>
      </c>
      <c r="H285" s="2" t="n">
        <v>201</v>
      </c>
      <c r="I285" s="2" t="n">
        <v>81</v>
      </c>
      <c r="J285" s="2" t="inlineStr">
        <is>
          <t>否</t>
        </is>
      </c>
      <c r="K285" s="2" t="n">
        <v>3.9</v>
      </c>
      <c r="L285" s="2" t="inlineStr">
        <is>
          <t>有效</t>
        </is>
      </c>
      <c r="M285" s="3" t="inlineStr"/>
      <c r="N285" s="2">
        <f>(G285-H285)/G285</f>
        <v/>
      </c>
      <c r="O285" s="2">
        <f>G285-H285</f>
        <v/>
      </c>
    </row>
    <row r="286">
      <c r="A286" s="2" t="n">
        <v>286</v>
      </c>
      <c r="B286" s="2" t="inlineStr">
        <is>
          <t>OD00285</t>
        </is>
      </c>
      <c r="C286" s="2" t="inlineStr">
        <is>
          <t>2026-10-25</t>
        </is>
      </c>
      <c r="D286" s="2" t="inlineStr">
        <is>
          <t>南京</t>
        </is>
      </c>
      <c r="E286" s="2" t="inlineStr">
        <is>
          <t>门店</t>
        </is>
      </c>
      <c r="F286" s="2" t="inlineStr">
        <is>
          <t>周边</t>
        </is>
      </c>
      <c r="G286" s="2" t="n">
        <v>443</v>
      </c>
      <c r="H286" s="2" t="n">
        <v>221</v>
      </c>
      <c r="I286" s="2" t="n">
        <v>27</v>
      </c>
      <c r="J286" s="2" t="inlineStr">
        <is>
          <t>否</t>
        </is>
      </c>
      <c r="K286" s="2" t="n">
        <v>3.9</v>
      </c>
      <c r="L286" s="2" t="inlineStr">
        <is>
          <t>有效</t>
        </is>
      </c>
      <c r="M286" s="3" t="inlineStr"/>
      <c r="N286" s="2">
        <f>(G286-H286)/G286</f>
        <v/>
      </c>
      <c r="O286" s="2">
        <f>G286-H286</f>
        <v/>
      </c>
    </row>
    <row r="287">
      <c r="A287" s="2" t="n">
        <v>287</v>
      </c>
      <c r="B287" s="2" t="inlineStr">
        <is>
          <t>OD00286</t>
        </is>
      </c>
      <c r="C287" s="2" t="inlineStr">
        <is>
          <t>2026-11-05</t>
        </is>
      </c>
      <c r="D287" s="2" t="inlineStr">
        <is>
          <t>苏州</t>
        </is>
      </c>
      <c r="E287" s="2" t="inlineStr">
        <is>
          <t>企业团购</t>
        </is>
      </c>
      <c r="F287" s="2" t="inlineStr">
        <is>
          <t>烘焙</t>
        </is>
      </c>
      <c r="G287" s="2" t="n">
        <v>639</v>
      </c>
      <c r="H287" s="2" t="n">
        <v>372</v>
      </c>
      <c r="I287" s="2" t="n">
        <v>21</v>
      </c>
      <c r="J287" s="2" t="inlineStr">
        <is>
          <t>否</t>
        </is>
      </c>
      <c r="K287" s="2" t="n">
        <v>4.2</v>
      </c>
      <c r="L287" s="2" t="inlineStr">
        <is>
          <t>有效</t>
        </is>
      </c>
      <c r="M287" s="3" t="inlineStr"/>
      <c r="N287" s="2">
        <f>(G287-H287)/G287</f>
        <v/>
      </c>
      <c r="O287" s="2">
        <f>G287-H287</f>
        <v/>
      </c>
    </row>
    <row r="288">
      <c r="A288" s="2" t="n">
        <v>288</v>
      </c>
      <c r="B288" s="2" t="inlineStr">
        <is>
          <t>OD00287</t>
        </is>
      </c>
      <c r="C288" s="2" t="inlineStr">
        <is>
          <t>2026-12-12</t>
        </is>
      </c>
      <c r="D288" s="2" t="inlineStr">
        <is>
          <t>上海</t>
        </is>
      </c>
      <c r="E288" s="2" t="inlineStr">
        <is>
          <t>企业团购</t>
        </is>
      </c>
      <c r="F288" s="2" t="inlineStr">
        <is>
          <t>咖啡</t>
        </is>
      </c>
      <c r="G288" s="2" t="n">
        <v>40</v>
      </c>
      <c r="H288" s="2" t="n">
        <v>18</v>
      </c>
      <c r="I288" s="2" t="n">
        <v>38</v>
      </c>
      <c r="J288" s="2" t="inlineStr">
        <is>
          <t>否</t>
        </is>
      </c>
      <c r="K288" s="2" t="n">
        <v>4.7</v>
      </c>
      <c r="L288" s="2" t="inlineStr">
        <is>
          <t>有效</t>
        </is>
      </c>
      <c r="M288" s="3" t="inlineStr"/>
      <c r="N288" s="2">
        <f>(G288-H288)/G288</f>
        <v/>
      </c>
      <c r="O288" s="2">
        <f>G288-H288</f>
        <v/>
      </c>
    </row>
    <row r="289">
      <c r="A289" s="2" t="n">
        <v>289</v>
      </c>
      <c r="B289" s="2" t="inlineStr">
        <is>
          <t>OD00288</t>
        </is>
      </c>
      <c r="C289" s="2" t="inlineStr">
        <is>
          <t>2026-01-19</t>
        </is>
      </c>
      <c r="D289" s="2" t="inlineStr">
        <is>
          <t>南京</t>
        </is>
      </c>
      <c r="E289" s="2" t="inlineStr">
        <is>
          <t>小程序</t>
        </is>
      </c>
      <c r="F289" s="2" t="inlineStr">
        <is>
          <t>周边</t>
        </is>
      </c>
      <c r="G289" s="2" t="n">
        <v>329</v>
      </c>
      <c r="H289" s="2" t="n">
        <v>139</v>
      </c>
      <c r="I289" s="2" t="n">
        <v>32</v>
      </c>
      <c r="J289" s="2" t="inlineStr">
        <is>
          <t>否</t>
        </is>
      </c>
      <c r="K289" s="2" t="n">
        <v>3.4</v>
      </c>
      <c r="L289" s="2" t="inlineStr">
        <is>
          <t>有效</t>
        </is>
      </c>
      <c r="M289" s="3" t="inlineStr"/>
      <c r="N289" s="2">
        <f>(G289-H289)/G289</f>
        <v/>
      </c>
      <c r="O289" s="2">
        <f>G289-H289</f>
        <v/>
      </c>
    </row>
    <row r="290">
      <c r="A290" s="2" t="n">
        <v>290</v>
      </c>
      <c r="B290" s="2" t="inlineStr">
        <is>
          <t>OD00289</t>
        </is>
      </c>
      <c r="C290" s="2" t="inlineStr">
        <is>
          <t>2026-02-26</t>
        </is>
      </c>
      <c r="D290" s="2" t="inlineStr">
        <is>
          <t>宁波</t>
        </is>
      </c>
      <c r="E290" s="2" t="inlineStr">
        <is>
          <t>外卖平台</t>
        </is>
      </c>
      <c r="F290" s="2" t="inlineStr">
        <is>
          <t>轻食</t>
        </is>
      </c>
      <c r="G290" s="2" t="n">
        <v>211</v>
      </c>
      <c r="H290" s="2" t="n">
        <v>149</v>
      </c>
      <c r="I290" s="2" t="n">
        <v>67</v>
      </c>
      <c r="J290" s="2" t="inlineStr">
        <is>
          <t>否</t>
        </is>
      </c>
      <c r="K290" s="2" t="n">
        <v>4.3</v>
      </c>
      <c r="L290" s="2" t="inlineStr">
        <is>
          <t>有效</t>
        </is>
      </c>
      <c r="M290" s="3" t="inlineStr"/>
      <c r="N290" s="2">
        <f>(G290-H290)/G290</f>
        <v/>
      </c>
      <c r="O290" s="2">
        <f>G290-H290</f>
        <v/>
      </c>
    </row>
    <row r="291">
      <c r="A291" s="2" t="n">
        <v>291</v>
      </c>
      <c r="B291" s="2" t="inlineStr">
        <is>
          <t>OD00290</t>
        </is>
      </c>
      <c r="C291" s="2" t="inlineStr">
        <is>
          <t>2026-03-06</t>
        </is>
      </c>
      <c r="D291" s="2" t="inlineStr">
        <is>
          <t>苏州</t>
        </is>
      </c>
      <c r="E291" s="2" t="inlineStr">
        <is>
          <t>门店</t>
        </is>
      </c>
      <c r="F291" s="2" t="inlineStr">
        <is>
          <t>茶饮</t>
        </is>
      </c>
      <c r="G291" s="2" t="n">
        <v>620</v>
      </c>
      <c r="H291" s="2" t="n">
        <v>360</v>
      </c>
      <c r="I291" s="2" t="n">
        <v>75</v>
      </c>
      <c r="J291" s="2" t="inlineStr">
        <is>
          <t>否</t>
        </is>
      </c>
      <c r="K291" s="2" t="n">
        <v>3.8</v>
      </c>
      <c r="L291" s="2" t="inlineStr">
        <is>
          <t>有效</t>
        </is>
      </c>
      <c r="M291" s="3" t="inlineStr"/>
      <c r="N291" s="2">
        <f>(G291-H291)/G291</f>
        <v/>
      </c>
      <c r="O291" s="2">
        <f>G291-H291</f>
        <v/>
      </c>
    </row>
    <row r="292">
      <c r="A292" s="2" t="n">
        <v>292</v>
      </c>
      <c r="B292" s="2" t="inlineStr">
        <is>
          <t>OD00291</t>
        </is>
      </c>
      <c r="C292" s="2" t="inlineStr">
        <is>
          <t>2026-04-13</t>
        </is>
      </c>
      <c r="D292" s="2" t="inlineStr">
        <is>
          <t>合肥</t>
        </is>
      </c>
      <c r="E292" s="2" t="inlineStr">
        <is>
          <t>外卖平台</t>
        </is>
      </c>
      <c r="F292" s="2" t="inlineStr">
        <is>
          <t>轻食</t>
        </is>
      </c>
      <c r="G292" s="2" t="n">
        <v>404</v>
      </c>
      <c r="H292" s="2" t="n">
        <v>217</v>
      </c>
      <c r="I292" s="2" t="n">
        <v>79</v>
      </c>
      <c r="J292" s="2" t="inlineStr">
        <is>
          <t>否</t>
        </is>
      </c>
      <c r="K292" s="2" t="n">
        <v>4.6</v>
      </c>
      <c r="L292" s="2" t="inlineStr">
        <is>
          <t>有效</t>
        </is>
      </c>
      <c r="M292" s="3" t="inlineStr"/>
      <c r="N292" s="2">
        <f>(G292-H292)/G292</f>
        <v/>
      </c>
      <c r="O292" s="2">
        <f>G292-H292</f>
        <v/>
      </c>
    </row>
    <row r="293">
      <c r="A293" s="2" t="n">
        <v>293</v>
      </c>
      <c r="B293" s="2" t="inlineStr">
        <is>
          <t>OD00292</t>
        </is>
      </c>
      <c r="C293" s="2" t="inlineStr">
        <is>
          <t>2026-05-20</t>
        </is>
      </c>
      <c r="D293" s="2" t="inlineStr">
        <is>
          <t>苏州</t>
        </is>
      </c>
      <c r="E293" s="2" t="inlineStr">
        <is>
          <t>小程序</t>
        </is>
      </c>
      <c r="F293" s="2" t="inlineStr">
        <is>
          <t>周边</t>
        </is>
      </c>
      <c r="G293" s="2" t="n">
        <v>194</v>
      </c>
      <c r="H293" s="2" t="n">
        <v>142</v>
      </c>
      <c r="I293" s="2" t="n">
        <v>74</v>
      </c>
      <c r="J293" s="2" t="inlineStr">
        <is>
          <t>否</t>
        </is>
      </c>
      <c r="K293" s="2" t="n">
        <v>4</v>
      </c>
      <c r="L293" s="2" t="inlineStr">
        <is>
          <t>有效</t>
        </is>
      </c>
      <c r="M293" s="3" t="inlineStr"/>
      <c r="N293" s="2">
        <f>(G293-H293)/G293</f>
        <v/>
      </c>
      <c r="O293" s="2">
        <f>G293-H293</f>
        <v/>
      </c>
    </row>
    <row r="294">
      <c r="A294" s="2" t="n">
        <v>294</v>
      </c>
      <c r="B294" s="2" t="inlineStr">
        <is>
          <t>OD00293</t>
        </is>
      </c>
      <c r="C294" s="2" t="inlineStr">
        <is>
          <t>2026-06-27</t>
        </is>
      </c>
      <c r="D294" s="2" t="inlineStr">
        <is>
          <t>宁波</t>
        </is>
      </c>
      <c r="E294" s="2" t="inlineStr">
        <is>
          <t>外卖平台</t>
        </is>
      </c>
      <c r="F294" s="2" t="inlineStr">
        <is>
          <t>烘焙</t>
        </is>
      </c>
      <c r="G294" s="2" t="n">
        <v>242</v>
      </c>
      <c r="H294" s="2" t="n">
        <v>152</v>
      </c>
      <c r="I294" s="2" t="n">
        <v>21</v>
      </c>
      <c r="J294" s="2" t="inlineStr">
        <is>
          <t>是</t>
        </is>
      </c>
      <c r="K294" s="2" t="n">
        <v>4.8</v>
      </c>
      <c r="L294" s="2" t="inlineStr">
        <is>
          <t>有效</t>
        </is>
      </c>
      <c r="M294" s="3" t="inlineStr"/>
      <c r="N294" s="2">
        <f>(G294-H294)/G294</f>
        <v/>
      </c>
      <c r="O294" s="2">
        <f>G294-H294</f>
        <v/>
      </c>
    </row>
    <row r="295">
      <c r="A295" s="2" t="n">
        <v>295</v>
      </c>
      <c r="B295" s="2" t="inlineStr">
        <is>
          <t>OD00294</t>
        </is>
      </c>
      <c r="C295" s="2" t="inlineStr">
        <is>
          <t>2026-07-07</t>
        </is>
      </c>
      <c r="D295" s="2" t="inlineStr">
        <is>
          <t>苏州</t>
        </is>
      </c>
      <c r="E295" s="2" t="inlineStr">
        <is>
          <t>企业团购</t>
        </is>
      </c>
      <c r="F295" s="2" t="inlineStr">
        <is>
          <t>周边</t>
        </is>
      </c>
      <c r="G295" s="2" t="n">
        <v>92</v>
      </c>
      <c r="H295" s="2" t="n">
        <v>61</v>
      </c>
      <c r="I295" s="2" t="n">
        <v>92</v>
      </c>
      <c r="J295" s="2" t="inlineStr">
        <is>
          <t>否</t>
        </is>
      </c>
      <c r="K295" s="2" t="n">
        <v>3.8</v>
      </c>
      <c r="L295" s="2" t="inlineStr">
        <is>
          <t>有效</t>
        </is>
      </c>
      <c r="M295" s="3" t="inlineStr"/>
      <c r="N295" s="2">
        <f>(G295-H295)/G295</f>
        <v/>
      </c>
      <c r="O295" s="2">
        <f>G295-H295</f>
        <v/>
      </c>
    </row>
    <row r="296">
      <c r="A296" s="2" t="n">
        <v>296</v>
      </c>
      <c r="B296" s="2" t="inlineStr">
        <is>
          <t>OD00295</t>
        </is>
      </c>
      <c r="C296" s="2" t="inlineStr">
        <is>
          <t>2026-08-14</t>
        </is>
      </c>
      <c r="D296" s="2" t="inlineStr">
        <is>
          <t>苏州</t>
        </is>
      </c>
      <c r="E296" s="2" t="inlineStr">
        <is>
          <t>门店</t>
        </is>
      </c>
      <c r="F296" s="2" t="inlineStr">
        <is>
          <t>咖啡</t>
        </is>
      </c>
      <c r="G296" s="2" t="n">
        <v>499</v>
      </c>
      <c r="H296" s="2" t="n">
        <v>221</v>
      </c>
      <c r="I296" s="2" t="n">
        <v>83</v>
      </c>
      <c r="J296" s="2" t="inlineStr">
        <is>
          <t>是</t>
        </is>
      </c>
      <c r="K296" s="2" t="n">
        <v>3.7</v>
      </c>
      <c r="L296" s="2" t="inlineStr">
        <is>
          <t>有效</t>
        </is>
      </c>
      <c r="M296" s="3" t="inlineStr"/>
      <c r="N296" s="2">
        <f>(G296-H296)/G296</f>
        <v/>
      </c>
      <c r="O296" s="2">
        <f>G296-H296</f>
        <v/>
      </c>
    </row>
    <row r="297">
      <c r="A297" s="2" t="n">
        <v>297</v>
      </c>
      <c r="B297" s="2" t="inlineStr">
        <is>
          <t>OD00296</t>
        </is>
      </c>
      <c r="C297" s="2" t="inlineStr">
        <is>
          <t>2026-09-21</t>
        </is>
      </c>
      <c r="D297" s="2" t="inlineStr">
        <is>
          <t>宁波</t>
        </is>
      </c>
      <c r="E297" s="2" t="inlineStr">
        <is>
          <t>外卖平台</t>
        </is>
      </c>
      <c r="F297" s="2" t="inlineStr">
        <is>
          <t>周边</t>
        </is>
      </c>
      <c r="G297" s="2" t="n">
        <v>257</v>
      </c>
      <c r="H297" s="2" t="n">
        <v>149</v>
      </c>
      <c r="I297" s="2" t="n">
        <v>77</v>
      </c>
      <c r="J297" s="2" t="inlineStr">
        <is>
          <t>是</t>
        </is>
      </c>
      <c r="K297" s="2" t="n">
        <v>3.8</v>
      </c>
      <c r="L297" s="2" t="inlineStr">
        <is>
          <t>有效</t>
        </is>
      </c>
      <c r="M297" s="3" t="inlineStr"/>
      <c r="N297" s="2">
        <f>(G297-H297)/G297</f>
        <v/>
      </c>
      <c r="O297" s="2">
        <f>G297-H297</f>
        <v/>
      </c>
    </row>
    <row r="298">
      <c r="A298" s="2" t="n">
        <v>298</v>
      </c>
      <c r="B298" s="2" t="inlineStr">
        <is>
          <t>OD00297</t>
        </is>
      </c>
      <c r="C298" s="2" t="inlineStr">
        <is>
          <t>2026-10-01</t>
        </is>
      </c>
      <c r="D298" s="2" t="inlineStr">
        <is>
          <t>上海</t>
        </is>
      </c>
      <c r="E298" s="2" t="inlineStr">
        <is>
          <t>外卖平台</t>
        </is>
      </c>
      <c r="F298" s="2" t="inlineStr">
        <is>
          <t>烘焙</t>
        </is>
      </c>
      <c r="G298" s="2" t="n">
        <v>457</v>
      </c>
      <c r="H298" s="2" t="n">
        <v>258</v>
      </c>
      <c r="I298" s="2" t="n">
        <v>42</v>
      </c>
      <c r="J298" s="2" t="inlineStr">
        <is>
          <t>否</t>
        </is>
      </c>
      <c r="K298" s="2" t="n">
        <v>3.7</v>
      </c>
      <c r="L298" s="2" t="inlineStr">
        <is>
          <t>有效</t>
        </is>
      </c>
      <c r="M298" s="3" t="inlineStr"/>
      <c r="N298" s="2">
        <f>(G298-H298)/G298</f>
        <v/>
      </c>
      <c r="O298" s="2">
        <f>G298-H298</f>
        <v/>
      </c>
    </row>
    <row r="299">
      <c r="A299" s="2" t="n">
        <v>299</v>
      </c>
      <c r="B299" s="2" t="inlineStr">
        <is>
          <t>OD00298</t>
        </is>
      </c>
      <c r="C299" s="2" t="inlineStr">
        <is>
          <t>2026-11-08</t>
        </is>
      </c>
      <c r="D299" s="2" t="inlineStr">
        <is>
          <t>宁波</t>
        </is>
      </c>
      <c r="E299" s="2" t="inlineStr">
        <is>
          <t>企业团购</t>
        </is>
      </c>
      <c r="F299" s="2" t="inlineStr">
        <is>
          <t>咖啡</t>
        </is>
      </c>
      <c r="G299" s="2" t="n">
        <v>118</v>
      </c>
      <c r="H299" s="2" t="n">
        <v>53</v>
      </c>
      <c r="I299" s="2" t="n">
        <v>39</v>
      </c>
      <c r="J299" s="2" t="inlineStr">
        <is>
          <t>是</t>
        </is>
      </c>
      <c r="K299" s="2" t="n">
        <v>3.4</v>
      </c>
      <c r="L299" s="2" t="inlineStr">
        <is>
          <t>有效</t>
        </is>
      </c>
      <c r="M299" s="3" t="inlineStr"/>
      <c r="N299" s="2">
        <f>(G299-H299)/G299</f>
        <v/>
      </c>
      <c r="O299" s="2">
        <f>G299-H299</f>
        <v/>
      </c>
    </row>
    <row r="300">
      <c r="A300" s="2" t="n">
        <v>300</v>
      </c>
      <c r="B300" s="2" t="inlineStr">
        <is>
          <t>OD00299</t>
        </is>
      </c>
      <c r="C300" s="2" t="inlineStr">
        <is>
          <t>2026-12-15</t>
        </is>
      </c>
      <c r="D300" s="2" t="inlineStr">
        <is>
          <t>南京</t>
        </is>
      </c>
      <c r="E300" s="2" t="inlineStr">
        <is>
          <t>企业团购</t>
        </is>
      </c>
      <c r="F300" s="2" t="inlineStr">
        <is>
          <t>咖啡</t>
        </is>
      </c>
      <c r="G300" s="2" t="n">
        <v>661</v>
      </c>
      <c r="H300" s="2" t="n">
        <v>400</v>
      </c>
      <c r="I300" s="2" t="n">
        <v>62</v>
      </c>
      <c r="J300" s="2" t="inlineStr">
        <is>
          <t>否</t>
        </is>
      </c>
      <c r="K300" s="2" t="n">
        <v>3.2</v>
      </c>
      <c r="L300" s="2" t="inlineStr">
        <is>
          <t>有效</t>
        </is>
      </c>
      <c r="M300" s="3" t="inlineStr"/>
      <c r="N300" s="2">
        <f>(G300-H300)/G300</f>
        <v/>
      </c>
      <c r="O300" s="2">
        <f>G300-H300</f>
        <v/>
      </c>
    </row>
    <row r="301">
      <c r="A301" s="2" t="n">
        <v>301</v>
      </c>
      <c r="B301" s="2" t="inlineStr">
        <is>
          <t>OD00300</t>
        </is>
      </c>
      <c r="C301" s="2" t="inlineStr">
        <is>
          <t>2026-01-22</t>
        </is>
      </c>
      <c r="D301" s="2" t="inlineStr">
        <is>
          <t>宁波</t>
        </is>
      </c>
      <c r="E301" s="2" t="inlineStr">
        <is>
          <t>小程序</t>
        </is>
      </c>
      <c r="F301" s="2" t="inlineStr">
        <is>
          <t>咖啡</t>
        </is>
      </c>
      <c r="G301" s="2" t="n">
        <v>69</v>
      </c>
      <c r="H301" s="2" t="n">
        <v>33</v>
      </c>
      <c r="I301" s="2" t="n">
        <v>39</v>
      </c>
      <c r="J301" s="2" t="inlineStr">
        <is>
          <t>否</t>
        </is>
      </c>
      <c r="K301" s="2" t="n">
        <v>3.4</v>
      </c>
      <c r="L301" s="2" t="inlineStr">
        <is>
          <t>有效</t>
        </is>
      </c>
      <c r="M301" s="3" t="inlineStr"/>
      <c r="N301" s="2">
        <f>(G301-H301)/G301</f>
        <v/>
      </c>
      <c r="O301" s="2">
        <f>G301-H301</f>
        <v/>
      </c>
    </row>
    <row r="302">
      <c r="A302" s="2" t="n">
        <v>302</v>
      </c>
      <c r="B302" s="2" t="inlineStr">
        <is>
          <t>OD00301</t>
        </is>
      </c>
      <c r="C302" s="2" t="inlineStr">
        <is>
          <t>2026-02-02</t>
        </is>
      </c>
      <c r="D302" s="2" t="inlineStr">
        <is>
          <t>南京</t>
        </is>
      </c>
      <c r="E302" s="2" t="inlineStr">
        <is>
          <t>企业团购</t>
        </is>
      </c>
      <c r="F302" s="2" t="inlineStr">
        <is>
          <t>周边</t>
        </is>
      </c>
      <c r="G302" s="2" t="n">
        <v>524</v>
      </c>
      <c r="H302" s="2" t="n">
        <v>233</v>
      </c>
      <c r="I302" s="2" t="n">
        <v>58</v>
      </c>
      <c r="J302" s="2" t="inlineStr">
        <is>
          <t>否</t>
        </is>
      </c>
      <c r="K302" s="2" t="n">
        <v>4.4</v>
      </c>
      <c r="L302" s="2" t="inlineStr">
        <is>
          <t>有效</t>
        </is>
      </c>
      <c r="M302" s="3" t="inlineStr"/>
      <c r="N302" s="2">
        <f>(G302-H302)/G302</f>
        <v/>
      </c>
      <c r="O302" s="2">
        <f>G302-H302</f>
        <v/>
      </c>
    </row>
    <row r="303">
      <c r="A303" s="2" t="n">
        <v>303</v>
      </c>
      <c r="B303" s="2" t="inlineStr">
        <is>
          <t>OD00302</t>
        </is>
      </c>
      <c r="C303" s="2" t="inlineStr">
        <is>
          <t>2026-03-09</t>
        </is>
      </c>
      <c r="D303" s="2" t="inlineStr">
        <is>
          <t>上海</t>
        </is>
      </c>
      <c r="E303" s="2" t="inlineStr">
        <is>
          <t>小程序</t>
        </is>
      </c>
      <c r="F303" s="2" t="inlineStr">
        <is>
          <t>轻食</t>
        </is>
      </c>
      <c r="G303" s="2" t="n">
        <v>212</v>
      </c>
      <c r="H303" s="2" t="n">
        <v>90</v>
      </c>
      <c r="I303" s="2" t="n">
        <v>76</v>
      </c>
      <c r="J303" s="2" t="inlineStr">
        <is>
          <t>否</t>
        </is>
      </c>
      <c r="K303" s="2" t="n">
        <v>4.8</v>
      </c>
      <c r="L303" s="2" t="inlineStr">
        <is>
          <t>有效</t>
        </is>
      </c>
      <c r="M303" s="3" t="inlineStr"/>
      <c r="N303" s="2">
        <f>(G303-H303)/G303</f>
        <v/>
      </c>
      <c r="O303" s="2">
        <f>G303-H303</f>
        <v/>
      </c>
    </row>
    <row r="304">
      <c r="A304" s="2" t="n">
        <v>304</v>
      </c>
      <c r="B304" s="2" t="inlineStr">
        <is>
          <t>OD00303</t>
        </is>
      </c>
      <c r="C304" s="2" t="inlineStr">
        <is>
          <t>2026-04-16</t>
        </is>
      </c>
      <c r="D304" s="2" t="inlineStr">
        <is>
          <t>合肥</t>
        </is>
      </c>
      <c r="E304" s="2" t="inlineStr">
        <is>
          <t>外卖平台</t>
        </is>
      </c>
      <c r="F304" s="2" t="inlineStr">
        <is>
          <t>茶饮</t>
        </is>
      </c>
      <c r="G304" s="2" t="n">
        <v>248</v>
      </c>
      <c r="H304" s="2" t="n">
        <v>184</v>
      </c>
      <c r="I304" s="2" t="n">
        <v>55</v>
      </c>
      <c r="J304" s="2" t="inlineStr">
        <is>
          <t>否</t>
        </is>
      </c>
      <c r="K304" s="2" t="n">
        <v>3.2</v>
      </c>
      <c r="L304" s="2" t="inlineStr">
        <is>
          <t>有效</t>
        </is>
      </c>
      <c r="M304" s="3" t="inlineStr"/>
      <c r="N304" s="2">
        <f>(G304-H304)/G304</f>
        <v/>
      </c>
      <c r="O304" s="2">
        <f>G304-H304</f>
        <v/>
      </c>
    </row>
    <row r="305">
      <c r="A305" s="2" t="n">
        <v>305</v>
      </c>
      <c r="B305" s="2" t="inlineStr">
        <is>
          <t>OD00304</t>
        </is>
      </c>
      <c r="C305" s="2" t="inlineStr">
        <is>
          <t>2026-05-23</t>
        </is>
      </c>
      <c r="D305" s="2" t="inlineStr">
        <is>
          <t>上海</t>
        </is>
      </c>
      <c r="E305" s="2" t="inlineStr">
        <is>
          <t>外卖平台</t>
        </is>
      </c>
      <c r="F305" s="2" t="inlineStr">
        <is>
          <t>咖啡</t>
        </is>
      </c>
      <c r="G305" s="2" t="n">
        <v>575</v>
      </c>
      <c r="H305" s="2" t="n">
        <v>399</v>
      </c>
      <c r="I305" s="2" t="n">
        <v>32</v>
      </c>
      <c r="J305" s="2" t="inlineStr">
        <is>
          <t>否</t>
        </is>
      </c>
      <c r="K305" s="2" t="n">
        <v>4.6</v>
      </c>
      <c r="L305" s="2" t="inlineStr">
        <is>
          <t>有效</t>
        </is>
      </c>
      <c r="M305" s="3" t="inlineStr"/>
      <c r="N305" s="2">
        <f>(G305-H305)/G305</f>
        <v/>
      </c>
      <c r="O305" s="2">
        <f>G305-H305</f>
        <v/>
      </c>
    </row>
    <row r="306">
      <c r="A306" s="2" t="n">
        <v>306</v>
      </c>
      <c r="B306" s="2" t="inlineStr">
        <is>
          <t>OD00305</t>
        </is>
      </c>
      <c r="C306" s="2" t="inlineStr">
        <is>
          <t>2026-06-03</t>
        </is>
      </c>
      <c r="D306" s="2" t="inlineStr">
        <is>
          <t>合肥</t>
        </is>
      </c>
      <c r="E306" s="2" t="inlineStr">
        <is>
          <t>小程序</t>
        </is>
      </c>
      <c r="F306" s="2" t="inlineStr">
        <is>
          <t>咖啡</t>
        </is>
      </c>
      <c r="G306" s="2" t="n">
        <v>121</v>
      </c>
      <c r="H306" s="2" t="n">
        <v>84</v>
      </c>
      <c r="I306" s="2" t="n">
        <v>84</v>
      </c>
      <c r="J306" s="2" t="inlineStr">
        <is>
          <t>否</t>
        </is>
      </c>
      <c r="K306" s="2" t="n">
        <v>3.2</v>
      </c>
      <c r="L306" s="2" t="inlineStr">
        <is>
          <t>有效</t>
        </is>
      </c>
      <c r="M306" s="3" t="inlineStr"/>
      <c r="N306" s="2">
        <f>(G306-H306)/G306</f>
        <v/>
      </c>
      <c r="O306" s="2">
        <f>G306-H306</f>
        <v/>
      </c>
    </row>
    <row r="307">
      <c r="A307" s="2" t="n">
        <v>307</v>
      </c>
      <c r="B307" s="2" t="inlineStr">
        <is>
          <t>OD00306</t>
        </is>
      </c>
      <c r="C307" s="2" t="inlineStr">
        <is>
          <t>2026-07-10</t>
        </is>
      </c>
      <c r="D307" s="2" t="inlineStr">
        <is>
          <t>南京</t>
        </is>
      </c>
      <c r="E307" s="2" t="inlineStr">
        <is>
          <t>小程序</t>
        </is>
      </c>
      <c r="F307" s="2" t="inlineStr">
        <is>
          <t>咖啡</t>
        </is>
      </c>
      <c r="G307" s="2" t="n">
        <v>275</v>
      </c>
      <c r="H307" s="2" t="n">
        <v>164</v>
      </c>
      <c r="I307" s="2" t="n">
        <v>12</v>
      </c>
      <c r="J307" s="2" t="inlineStr">
        <is>
          <t>否</t>
        </is>
      </c>
      <c r="K307" s="2" t="n">
        <v>4.6</v>
      </c>
      <c r="L307" s="2" t="inlineStr">
        <is>
          <t>有效</t>
        </is>
      </c>
      <c r="M307" s="3" t="inlineStr"/>
      <c r="N307" s="2">
        <f>(G307-H307)/G307</f>
        <v/>
      </c>
      <c r="O307" s="2">
        <f>G307-H307</f>
        <v/>
      </c>
    </row>
    <row r="308">
      <c r="A308" s="2" t="n">
        <v>308</v>
      </c>
      <c r="B308" s="2" t="inlineStr">
        <is>
          <t>OD00307</t>
        </is>
      </c>
      <c r="C308" s="2" t="inlineStr">
        <is>
          <t>2026-08-17</t>
        </is>
      </c>
      <c r="D308" s="2" t="inlineStr">
        <is>
          <t>苏州</t>
        </is>
      </c>
      <c r="E308" s="2" t="inlineStr">
        <is>
          <t>外卖平台</t>
        </is>
      </c>
      <c r="F308" s="2" t="inlineStr">
        <is>
          <t>烘焙</t>
        </is>
      </c>
      <c r="G308" s="2" t="n">
        <v>37</v>
      </c>
      <c r="H308" s="2" t="n">
        <v>16</v>
      </c>
      <c r="I308" s="2" t="n">
        <v>77</v>
      </c>
      <c r="J308" s="2" t="inlineStr">
        <is>
          <t>否</t>
        </is>
      </c>
      <c r="K308" s="2" t="n">
        <v>4.7</v>
      </c>
      <c r="L308" s="2" t="inlineStr">
        <is>
          <t>有效</t>
        </is>
      </c>
      <c r="M308" s="3" t="inlineStr"/>
      <c r="N308" s="2">
        <f>(G308-H308)/G308</f>
        <v/>
      </c>
      <c r="O308" s="2">
        <f>G308-H308</f>
        <v/>
      </c>
    </row>
    <row r="309">
      <c r="A309" s="2" t="n">
        <v>309</v>
      </c>
      <c r="B309" s="2" t="inlineStr">
        <is>
          <t>OD00308</t>
        </is>
      </c>
      <c r="C309" s="2" t="inlineStr">
        <is>
          <t>2026-09-24</t>
        </is>
      </c>
      <c r="D309" s="2" t="inlineStr">
        <is>
          <t>南京</t>
        </is>
      </c>
      <c r="E309" s="2" t="inlineStr">
        <is>
          <t>外卖平台</t>
        </is>
      </c>
      <c r="F309" s="2" t="inlineStr">
        <is>
          <t>茶饮</t>
        </is>
      </c>
      <c r="G309" s="2" t="n">
        <v>331</v>
      </c>
      <c r="H309" s="2" t="n">
        <v>172</v>
      </c>
      <c r="I309" s="2" t="n">
        <v>66</v>
      </c>
      <c r="J309" s="2" t="inlineStr">
        <is>
          <t>否</t>
        </is>
      </c>
      <c r="K309" s="2" t="n">
        <v>3.5</v>
      </c>
      <c r="L309" s="2" t="inlineStr">
        <is>
          <t>有效</t>
        </is>
      </c>
      <c r="M309" s="3" t="inlineStr"/>
      <c r="N309" s="2">
        <f>(G309-H309)/G309</f>
        <v/>
      </c>
      <c r="O309" s="2">
        <f>G309-H309</f>
        <v/>
      </c>
    </row>
    <row r="310">
      <c r="A310" s="2" t="n">
        <v>310</v>
      </c>
      <c r="B310" s="2" t="inlineStr">
        <is>
          <t>OD00309</t>
        </is>
      </c>
      <c r="C310" s="2" t="inlineStr">
        <is>
          <t>2026-10-04</t>
        </is>
      </c>
      <c r="D310" s="2" t="inlineStr">
        <is>
          <t>宁波</t>
        </is>
      </c>
      <c r="E310" s="2" t="inlineStr">
        <is>
          <t>外卖平台</t>
        </is>
      </c>
      <c r="F310" s="2" t="inlineStr">
        <is>
          <t>周边</t>
        </is>
      </c>
      <c r="G310" s="2" t="n">
        <v>417</v>
      </c>
      <c r="H310" s="2" t="n">
        <v>298</v>
      </c>
      <c r="I310" s="2" t="n">
        <v>76</v>
      </c>
      <c r="J310" s="2" t="inlineStr">
        <is>
          <t>否</t>
        </is>
      </c>
      <c r="K310" s="2" t="n">
        <v>4.3</v>
      </c>
      <c r="L310" s="2" t="inlineStr">
        <is>
          <t>有效</t>
        </is>
      </c>
      <c r="M310" s="3" t="inlineStr"/>
      <c r="N310" s="2">
        <f>(G310-H310)/G310</f>
        <v/>
      </c>
      <c r="O310" s="2">
        <f>G310-H310</f>
        <v/>
      </c>
    </row>
    <row r="311">
      <c r="A311" s="2" t="n">
        <v>311</v>
      </c>
      <c r="B311" s="2" t="inlineStr">
        <is>
          <t>OD00310</t>
        </is>
      </c>
      <c r="C311" s="2" t="inlineStr">
        <is>
          <t>2026-11-11</t>
        </is>
      </c>
      <c r="D311" s="2" t="inlineStr">
        <is>
          <t>苏州</t>
        </is>
      </c>
      <c r="E311" s="2" t="inlineStr">
        <is>
          <t>门店</t>
        </is>
      </c>
      <c r="F311" s="2" t="inlineStr">
        <is>
          <t>周边</t>
        </is>
      </c>
      <c r="G311" s="2" t="n">
        <v>274</v>
      </c>
      <c r="H311" s="2" t="n">
        <v>176</v>
      </c>
      <c r="I311" s="2" t="n">
        <v>59</v>
      </c>
      <c r="J311" s="2" t="inlineStr">
        <is>
          <t>否</t>
        </is>
      </c>
      <c r="K311" s="2" t="n">
        <v>3.8</v>
      </c>
      <c r="L311" s="2" t="inlineStr">
        <is>
          <t>有效</t>
        </is>
      </c>
      <c r="M311" s="3" t="inlineStr"/>
      <c r="N311" s="2">
        <f>(G311-H311)/G311</f>
        <v/>
      </c>
      <c r="O311" s="2">
        <f>G311-H311</f>
        <v/>
      </c>
    </row>
    <row r="312">
      <c r="A312" s="2" t="n">
        <v>312</v>
      </c>
      <c r="B312" s="2" t="inlineStr">
        <is>
          <t>OD00311</t>
        </is>
      </c>
      <c r="C312" s="2" t="inlineStr">
        <is>
          <t>2026-12-18</t>
        </is>
      </c>
      <c r="D312" s="2" t="inlineStr">
        <is>
          <t>苏州</t>
        </is>
      </c>
      <c r="E312" s="2" t="inlineStr">
        <is>
          <t>门店</t>
        </is>
      </c>
      <c r="F312" s="2" t="inlineStr">
        <is>
          <t>轻食</t>
        </is>
      </c>
      <c r="G312" s="2" t="n">
        <v>567</v>
      </c>
      <c r="H312" s="2" t="n">
        <v>322</v>
      </c>
      <c r="I312" s="2" t="n">
        <v>86</v>
      </c>
      <c r="J312" s="2" t="inlineStr">
        <is>
          <t>否</t>
        </is>
      </c>
      <c r="K312" s="2" t="n">
        <v>4.1</v>
      </c>
      <c r="L312" s="2" t="inlineStr">
        <is>
          <t>有效</t>
        </is>
      </c>
      <c r="M312" s="3" t="inlineStr"/>
      <c r="N312" s="2">
        <f>(G312-H312)/G312</f>
        <v/>
      </c>
      <c r="O312" s="2">
        <f>G312-H312</f>
        <v/>
      </c>
    </row>
    <row r="313">
      <c r="A313" s="2" t="n">
        <v>313</v>
      </c>
      <c r="B313" s="2" t="inlineStr">
        <is>
          <t>OD00312</t>
        </is>
      </c>
      <c r="C313" s="2" t="inlineStr">
        <is>
          <t>2026-01-25</t>
        </is>
      </c>
      <c r="D313" s="2" t="inlineStr">
        <is>
          <t>苏州</t>
        </is>
      </c>
      <c r="E313" s="2" t="inlineStr">
        <is>
          <t>外卖平台</t>
        </is>
      </c>
      <c r="F313" s="2" t="inlineStr">
        <is>
          <t>咖啡</t>
        </is>
      </c>
      <c r="G313" s="2" t="n">
        <v>660</v>
      </c>
      <c r="H313" s="2" t="n">
        <v>462</v>
      </c>
      <c r="I313" s="2" t="n">
        <v>54</v>
      </c>
      <c r="J313" s="2" t="inlineStr">
        <is>
          <t>否</t>
        </is>
      </c>
      <c r="K313" s="2" t="n">
        <v>4.8</v>
      </c>
      <c r="L313" s="2" t="inlineStr">
        <is>
          <t>有效</t>
        </is>
      </c>
      <c r="M313" s="3" t="inlineStr"/>
      <c r="N313" s="2">
        <f>(G313-H313)/G313</f>
        <v/>
      </c>
      <c r="O313" s="2">
        <f>G313-H313</f>
        <v/>
      </c>
    </row>
    <row r="314">
      <c r="A314" s="2" t="n">
        <v>314</v>
      </c>
      <c r="B314" s="2" t="inlineStr">
        <is>
          <t>OD00313</t>
        </is>
      </c>
      <c r="C314" s="2" t="inlineStr">
        <is>
          <t>2026-02-05</t>
        </is>
      </c>
      <c r="D314" s="2" t="inlineStr">
        <is>
          <t>合肥</t>
        </is>
      </c>
      <c r="E314" s="2" t="inlineStr">
        <is>
          <t>外卖平台</t>
        </is>
      </c>
      <c r="F314" s="2" t="inlineStr">
        <is>
          <t>烘焙</t>
        </is>
      </c>
      <c r="G314" s="2" t="n">
        <v>544</v>
      </c>
      <c r="H314" s="2" t="n">
        <v>378</v>
      </c>
      <c r="I314" s="2" t="n">
        <v>36</v>
      </c>
      <c r="J314" s="2" t="inlineStr">
        <is>
          <t>否</t>
        </is>
      </c>
      <c r="K314" s="2" t="n">
        <v>4.4</v>
      </c>
      <c r="L314" s="2" t="inlineStr">
        <is>
          <t>有效</t>
        </is>
      </c>
      <c r="M314" s="3" t="inlineStr"/>
      <c r="N314" s="2">
        <f>(G314-H314)/G314</f>
        <v/>
      </c>
      <c r="O314" s="2">
        <f>G314-H314</f>
        <v/>
      </c>
    </row>
    <row r="315">
      <c r="A315" s="2" t="n">
        <v>315</v>
      </c>
      <c r="B315" s="2" t="inlineStr">
        <is>
          <t>OD00314</t>
        </is>
      </c>
      <c r="C315" s="2" t="inlineStr">
        <is>
          <t>2026-03-12</t>
        </is>
      </c>
      <c r="D315" s="2" t="inlineStr">
        <is>
          <t>合肥</t>
        </is>
      </c>
      <c r="E315" s="2" t="inlineStr">
        <is>
          <t>小程序</t>
        </is>
      </c>
      <c r="F315" s="2" t="inlineStr">
        <is>
          <t>茶饮</t>
        </is>
      </c>
      <c r="G315" s="2" t="n">
        <v>522</v>
      </c>
      <c r="H315" s="2" t="n">
        <v>302</v>
      </c>
      <c r="I315" s="2" t="n">
        <v>29</v>
      </c>
      <c r="J315" s="2" t="inlineStr">
        <is>
          <t>否</t>
        </is>
      </c>
      <c r="K315" s="2" t="n">
        <v>3.2</v>
      </c>
      <c r="L315" s="2" t="inlineStr">
        <is>
          <t>有效</t>
        </is>
      </c>
      <c r="M315" s="3" t="inlineStr"/>
      <c r="N315" s="2">
        <f>(G315-H315)/G315</f>
        <v/>
      </c>
      <c r="O315" s="2">
        <f>G315-H315</f>
        <v/>
      </c>
    </row>
    <row r="316">
      <c r="A316" s="2" t="n">
        <v>316</v>
      </c>
      <c r="B316" s="2" t="inlineStr">
        <is>
          <t>OD00315</t>
        </is>
      </c>
      <c r="C316" s="2" t="inlineStr">
        <is>
          <t>2026-04-19</t>
        </is>
      </c>
      <c r="D316" s="2" t="inlineStr">
        <is>
          <t>杭州</t>
        </is>
      </c>
      <c r="E316" s="2" t="inlineStr">
        <is>
          <t>企业团购</t>
        </is>
      </c>
      <c r="F316" s="2" t="inlineStr">
        <is>
          <t>茶饮</t>
        </is>
      </c>
      <c r="G316" s="2" t="n">
        <v>632</v>
      </c>
      <c r="H316" s="2" t="n">
        <v>437</v>
      </c>
      <c r="I316" s="2" t="n">
        <v>59</v>
      </c>
      <c r="J316" s="2" t="inlineStr">
        <is>
          <t>否</t>
        </is>
      </c>
      <c r="K316" s="2" t="n">
        <v>3.4</v>
      </c>
      <c r="L316" s="2" t="inlineStr">
        <is>
          <t>有效</t>
        </is>
      </c>
      <c r="M316" s="3" t="inlineStr"/>
      <c r="N316" s="2">
        <f>(G316-H316)/G316</f>
        <v/>
      </c>
      <c r="O316" s="2">
        <f>G316-H316</f>
        <v/>
      </c>
    </row>
    <row r="317">
      <c r="A317" s="2" t="n">
        <v>317</v>
      </c>
      <c r="B317" s="2" t="inlineStr">
        <is>
          <t>OD00316</t>
        </is>
      </c>
      <c r="C317" s="2" t="inlineStr">
        <is>
          <t>2026-05-26</t>
        </is>
      </c>
      <c r="D317" s="2" t="inlineStr">
        <is>
          <t>苏州</t>
        </is>
      </c>
      <c r="E317" s="2" t="inlineStr">
        <is>
          <t>外卖平台</t>
        </is>
      </c>
      <c r="F317" s="2" t="inlineStr">
        <is>
          <t>咖啡</t>
        </is>
      </c>
      <c r="G317" s="2" t="n">
        <v>628</v>
      </c>
      <c r="H317" s="2" t="n">
        <v>282</v>
      </c>
      <c r="I317" s="2" t="n">
        <v>85</v>
      </c>
      <c r="J317" s="2" t="inlineStr">
        <is>
          <t>否</t>
        </is>
      </c>
      <c r="K317" s="2" t="n">
        <v>3.4</v>
      </c>
      <c r="L317" s="2" t="inlineStr">
        <is>
          <t>有效</t>
        </is>
      </c>
      <c r="M317" s="3" t="inlineStr"/>
      <c r="N317" s="2">
        <f>(G317-H317)/G317</f>
        <v/>
      </c>
      <c r="O317" s="2">
        <f>G317-H317</f>
        <v/>
      </c>
    </row>
    <row r="318">
      <c r="A318" s="2" t="n">
        <v>318</v>
      </c>
      <c r="B318" s="2" t="inlineStr">
        <is>
          <t>OD00317</t>
        </is>
      </c>
      <c r="C318" s="2" t="inlineStr">
        <is>
          <t>2026-06-06</t>
        </is>
      </c>
      <c r="D318" s="2" t="inlineStr">
        <is>
          <t>合肥</t>
        </is>
      </c>
      <c r="E318" s="2" t="inlineStr">
        <is>
          <t>小程序</t>
        </is>
      </c>
      <c r="F318" s="2" t="inlineStr">
        <is>
          <t>茶饮</t>
        </is>
      </c>
      <c r="G318" s="2" t="n">
        <v>336</v>
      </c>
      <c r="H318" s="2" t="n">
        <v>167</v>
      </c>
      <c r="I318" s="2" t="n">
        <v>24</v>
      </c>
      <c r="J318" s="2" t="inlineStr">
        <is>
          <t>否</t>
        </is>
      </c>
      <c r="K318" s="2" t="n">
        <v>4.8</v>
      </c>
      <c r="L318" s="2" t="inlineStr">
        <is>
          <t>有效</t>
        </is>
      </c>
      <c r="M318" s="3" t="inlineStr"/>
      <c r="N318" s="2">
        <f>(G318-H318)/G318</f>
        <v/>
      </c>
      <c r="O318" s="2">
        <f>G318-H318</f>
        <v/>
      </c>
    </row>
    <row r="319">
      <c r="A319" s="2" t="n">
        <v>319</v>
      </c>
      <c r="B319" s="2" t="inlineStr">
        <is>
          <t>OD00318</t>
        </is>
      </c>
      <c r="C319" s="2" t="inlineStr">
        <is>
          <t>2026-07-13</t>
        </is>
      </c>
      <c r="D319" s="2" t="inlineStr">
        <is>
          <t>上海</t>
        </is>
      </c>
      <c r="E319" s="2" t="inlineStr">
        <is>
          <t>外卖平台</t>
        </is>
      </c>
      <c r="F319" s="2" t="inlineStr">
        <is>
          <t>轻食</t>
        </is>
      </c>
      <c r="G319" s="2" t="n">
        <v>126</v>
      </c>
      <c r="H319" s="2" t="n">
        <v>59</v>
      </c>
      <c r="I319" s="2" t="n">
        <v>83</v>
      </c>
      <c r="J319" s="2" t="inlineStr">
        <is>
          <t>否</t>
        </is>
      </c>
      <c r="K319" s="2" t="n">
        <v>4.7</v>
      </c>
      <c r="L319" s="2" t="inlineStr">
        <is>
          <t>有效</t>
        </is>
      </c>
      <c r="M319" s="3" t="inlineStr"/>
      <c r="N319" s="2">
        <f>(G319-H319)/G319</f>
        <v/>
      </c>
      <c r="O319" s="2">
        <f>G319-H319</f>
        <v/>
      </c>
    </row>
    <row r="320">
      <c r="A320" s="2" t="n">
        <v>320</v>
      </c>
      <c r="B320" s="2" t="inlineStr">
        <is>
          <t>OD00319</t>
        </is>
      </c>
      <c r="C320" s="2" t="inlineStr">
        <is>
          <t>2026-08-20</t>
        </is>
      </c>
      <c r="D320" s="2" t="inlineStr">
        <is>
          <t>上海</t>
        </is>
      </c>
      <c r="E320" s="2" t="inlineStr">
        <is>
          <t>门店</t>
        </is>
      </c>
      <c r="F320" s="2" t="inlineStr">
        <is>
          <t>茶饮</t>
        </is>
      </c>
      <c r="G320" s="2" t="n">
        <v>355</v>
      </c>
      <c r="H320" s="2" t="n">
        <v>179</v>
      </c>
      <c r="I320" s="2" t="n">
        <v>17</v>
      </c>
      <c r="J320" s="2" t="inlineStr">
        <is>
          <t>否</t>
        </is>
      </c>
      <c r="K320" s="2" t="n">
        <v>4.7</v>
      </c>
      <c r="L320" s="2" t="inlineStr">
        <is>
          <t>有效</t>
        </is>
      </c>
      <c r="M320" s="3" t="inlineStr"/>
      <c r="N320" s="2">
        <f>(G320-H320)/G320</f>
        <v/>
      </c>
      <c r="O320" s="2">
        <f>G320-H320</f>
        <v/>
      </c>
    </row>
    <row r="321">
      <c r="A321" s="2" t="n">
        <v>321</v>
      </c>
      <c r="B321" s="2" t="inlineStr">
        <is>
          <t>OD00320</t>
        </is>
      </c>
      <c r="C321" s="2" t="inlineStr">
        <is>
          <t>2026-09-27</t>
        </is>
      </c>
      <c r="D321" s="2" t="inlineStr">
        <is>
          <t>上海</t>
        </is>
      </c>
      <c r="E321" s="2" t="inlineStr">
        <is>
          <t>门店</t>
        </is>
      </c>
      <c r="F321" s="2" t="inlineStr">
        <is>
          <t>轻食</t>
        </is>
      </c>
      <c r="G321" s="2" t="n">
        <v>160</v>
      </c>
      <c r="H321" s="2" t="n">
        <v>82</v>
      </c>
      <c r="I321" s="2" t="n">
        <v>64</v>
      </c>
      <c r="J321" s="2" t="inlineStr">
        <is>
          <t>是</t>
        </is>
      </c>
      <c r="K321" s="2" t="n">
        <v>3.8</v>
      </c>
      <c r="L321" s="2" t="inlineStr">
        <is>
          <t>有效</t>
        </is>
      </c>
      <c r="M321" s="3" t="inlineStr"/>
      <c r="N321" s="2">
        <f>(G321-H321)/G321</f>
        <v/>
      </c>
      <c r="O321" s="2">
        <f>G321-H321</f>
        <v/>
      </c>
    </row>
    <row r="322">
      <c r="A322" s="2" t="n">
        <v>322</v>
      </c>
      <c r="B322" s="2" t="inlineStr">
        <is>
          <t>OD00321</t>
        </is>
      </c>
      <c r="C322" s="2" t="inlineStr">
        <is>
          <t>2026-10-07</t>
        </is>
      </c>
      <c r="D322" s="2" t="inlineStr">
        <is>
          <t>宁波</t>
        </is>
      </c>
      <c r="E322" s="2" t="inlineStr">
        <is>
          <t>小程序</t>
        </is>
      </c>
      <c r="F322" s="2" t="inlineStr">
        <is>
          <t>周边</t>
        </is>
      </c>
      <c r="G322" s="2" t="n">
        <v>118</v>
      </c>
      <c r="H322" s="2" t="n">
        <v>65</v>
      </c>
      <c r="I322" s="2" t="n">
        <v>15</v>
      </c>
      <c r="J322" s="2" t="inlineStr">
        <is>
          <t>否</t>
        </is>
      </c>
      <c r="K322" s="2" t="n">
        <v>3.6</v>
      </c>
      <c r="L322" s="2" t="inlineStr">
        <is>
          <t>有效</t>
        </is>
      </c>
      <c r="M322" s="3" t="inlineStr"/>
      <c r="N322" s="2">
        <f>(G322-H322)/G322</f>
        <v/>
      </c>
      <c r="O322" s="2">
        <f>G322-H322</f>
        <v/>
      </c>
    </row>
    <row r="323">
      <c r="A323" s="2" t="n">
        <v>323</v>
      </c>
      <c r="B323" s="2" t="inlineStr">
        <is>
          <t>OD00322</t>
        </is>
      </c>
      <c r="C323" s="2" t="inlineStr">
        <is>
          <t>2026-11-14</t>
        </is>
      </c>
      <c r="D323" s="2" t="inlineStr">
        <is>
          <t>上海</t>
        </is>
      </c>
      <c r="E323" s="2" t="inlineStr">
        <is>
          <t>企业团购</t>
        </is>
      </c>
      <c r="F323" s="2" t="inlineStr">
        <is>
          <t>轻食</t>
        </is>
      </c>
      <c r="G323" s="2" t="n">
        <v>271</v>
      </c>
      <c r="H323" s="2" t="n">
        <v>190</v>
      </c>
      <c r="I323" s="2" t="n">
        <v>48</v>
      </c>
      <c r="J323" s="2" t="inlineStr">
        <is>
          <t>否</t>
        </is>
      </c>
      <c r="K323" s="2" t="n">
        <v>4.3</v>
      </c>
      <c r="L323" s="2" t="inlineStr">
        <is>
          <t>有效</t>
        </is>
      </c>
      <c r="M323" s="3" t="inlineStr"/>
      <c r="N323" s="2">
        <f>(G323-H323)/G323</f>
        <v/>
      </c>
      <c r="O323" s="2">
        <f>G323-H323</f>
        <v/>
      </c>
    </row>
    <row r="324">
      <c r="A324" s="2" t="n">
        <v>324</v>
      </c>
      <c r="B324" s="2" t="inlineStr">
        <is>
          <t>OD00323</t>
        </is>
      </c>
      <c r="C324" s="2" t="inlineStr">
        <is>
          <t>2026-12-21</t>
        </is>
      </c>
      <c r="D324" s="2" t="inlineStr">
        <is>
          <t>苏州</t>
        </is>
      </c>
      <c r="E324" s="2" t="inlineStr">
        <is>
          <t>企业团购</t>
        </is>
      </c>
      <c r="F324" s="2" t="inlineStr">
        <is>
          <t>周边</t>
        </is>
      </c>
      <c r="G324" s="2" t="n">
        <v>598</v>
      </c>
      <c r="H324" s="2" t="n">
        <v>260</v>
      </c>
      <c r="I324" s="2" t="n">
        <v>67</v>
      </c>
      <c r="J324" s="2" t="inlineStr">
        <is>
          <t>否</t>
        </is>
      </c>
      <c r="K324" s="2" t="n">
        <v>4</v>
      </c>
      <c r="L324" s="2" t="inlineStr">
        <is>
          <t>有效</t>
        </is>
      </c>
      <c r="M324" s="3" t="inlineStr"/>
      <c r="N324" s="2">
        <f>(G324-H324)/G324</f>
        <v/>
      </c>
      <c r="O324" s="2">
        <f>G324-H324</f>
        <v/>
      </c>
    </row>
    <row r="325">
      <c r="A325" s="2" t="n">
        <v>325</v>
      </c>
      <c r="B325" s="2" t="inlineStr">
        <is>
          <t>OD00324</t>
        </is>
      </c>
      <c r="C325" s="2" t="inlineStr">
        <is>
          <t>2026-01-01</t>
        </is>
      </c>
      <c r="D325" s="2" t="inlineStr">
        <is>
          <t>宁波</t>
        </is>
      </c>
      <c r="E325" s="2" t="inlineStr">
        <is>
          <t>门店</t>
        </is>
      </c>
      <c r="F325" s="2" t="inlineStr">
        <is>
          <t>烘焙</t>
        </is>
      </c>
      <c r="G325" s="2" t="n">
        <v>632</v>
      </c>
      <c r="H325" s="2" t="n">
        <v>401</v>
      </c>
      <c r="I325" s="2" t="n">
        <v>39</v>
      </c>
      <c r="J325" s="2" t="inlineStr">
        <is>
          <t>否</t>
        </is>
      </c>
      <c r="K325" s="2" t="n">
        <v>4.6</v>
      </c>
      <c r="L325" s="2" t="inlineStr">
        <is>
          <t>有效</t>
        </is>
      </c>
      <c r="M325" s="3" t="inlineStr"/>
      <c r="N325" s="2">
        <f>(G325-H325)/G325</f>
        <v/>
      </c>
      <c r="O325" s="2">
        <f>G325-H325</f>
        <v/>
      </c>
    </row>
    <row r="326">
      <c r="A326" s="2" t="n">
        <v>326</v>
      </c>
      <c r="B326" s="2" t="inlineStr">
        <is>
          <t>OD00325</t>
        </is>
      </c>
      <c r="C326" s="2" t="inlineStr">
        <is>
          <t>2026-02-08</t>
        </is>
      </c>
      <c r="D326" s="2" t="inlineStr">
        <is>
          <t>合肥</t>
        </is>
      </c>
      <c r="E326" s="2" t="inlineStr">
        <is>
          <t>外卖平台</t>
        </is>
      </c>
      <c r="F326" s="2" t="inlineStr">
        <is>
          <t>咖啡</t>
        </is>
      </c>
      <c r="G326" s="2" t="n">
        <v>622</v>
      </c>
      <c r="H326" s="2" t="n">
        <v>298</v>
      </c>
      <c r="I326" s="2" t="n">
        <v>53</v>
      </c>
      <c r="J326" s="2" t="inlineStr">
        <is>
          <t>否</t>
        </is>
      </c>
      <c r="K326" s="2" t="n">
        <v>4.7</v>
      </c>
      <c r="L326" s="2" t="inlineStr">
        <is>
          <t>有效</t>
        </is>
      </c>
      <c r="M326" s="3" t="inlineStr"/>
      <c r="N326" s="2">
        <f>(G326-H326)/G326</f>
        <v/>
      </c>
      <c r="O326" s="2">
        <f>G326-H326</f>
        <v/>
      </c>
    </row>
    <row r="327">
      <c r="A327" s="2" t="n">
        <v>327</v>
      </c>
      <c r="B327" s="2" t="inlineStr">
        <is>
          <t>OD00326</t>
        </is>
      </c>
      <c r="C327" s="2" t="inlineStr">
        <is>
          <t>2026-03-15</t>
        </is>
      </c>
      <c r="D327" s="2" t="inlineStr">
        <is>
          <t>上海</t>
        </is>
      </c>
      <c r="E327" s="2" t="inlineStr">
        <is>
          <t>小程序</t>
        </is>
      </c>
      <c r="F327" s="2" t="inlineStr">
        <is>
          <t>烘焙</t>
        </is>
      </c>
      <c r="G327" s="2" t="n">
        <v>488</v>
      </c>
      <c r="H327" s="2" t="n">
        <v>261</v>
      </c>
      <c r="I327" s="2" t="n">
        <v>19</v>
      </c>
      <c r="J327" s="2" t="inlineStr">
        <is>
          <t>否</t>
        </is>
      </c>
      <c r="K327" s="2" t="n">
        <v>4.6</v>
      </c>
      <c r="L327" s="2" t="inlineStr">
        <is>
          <t>有效</t>
        </is>
      </c>
      <c r="M327" s="3" t="inlineStr"/>
      <c r="N327" s="2">
        <f>(G327-H327)/G327</f>
        <v/>
      </c>
      <c r="O327" s="2">
        <f>G327-H327</f>
        <v/>
      </c>
    </row>
    <row r="328">
      <c r="A328" s="2" t="n">
        <v>328</v>
      </c>
      <c r="B328" s="2" t="inlineStr">
        <is>
          <t>OD00327</t>
        </is>
      </c>
      <c r="C328" s="2" t="inlineStr">
        <is>
          <t>2026-04-22</t>
        </is>
      </c>
      <c r="D328" s="2" t="inlineStr">
        <is>
          <t>苏州</t>
        </is>
      </c>
      <c r="E328" s="2" t="inlineStr">
        <is>
          <t>企业团购</t>
        </is>
      </c>
      <c r="F328" s="2" t="inlineStr">
        <is>
          <t>咖啡</t>
        </is>
      </c>
      <c r="G328" s="2" t="n">
        <v>517</v>
      </c>
      <c r="H328" s="2" t="n">
        <v>301</v>
      </c>
      <c r="I328" s="2" t="n">
        <v>65</v>
      </c>
      <c r="J328" s="2" t="inlineStr">
        <is>
          <t>否</t>
        </is>
      </c>
      <c r="K328" s="2" t="n">
        <v>3.2</v>
      </c>
      <c r="L328" s="2" t="inlineStr">
        <is>
          <t>有效</t>
        </is>
      </c>
      <c r="M328" s="3" t="inlineStr"/>
      <c r="N328" s="2">
        <f>(G328-H328)/G328</f>
        <v/>
      </c>
      <c r="O328" s="2">
        <f>G328-H328</f>
        <v/>
      </c>
    </row>
    <row r="329">
      <c r="A329" s="2" t="n">
        <v>329</v>
      </c>
      <c r="B329" s="2" t="inlineStr">
        <is>
          <t>OD00328</t>
        </is>
      </c>
      <c r="C329" s="2" t="inlineStr">
        <is>
          <t>2026-05-02</t>
        </is>
      </c>
      <c r="D329" s="2" t="inlineStr">
        <is>
          <t>杭州</t>
        </is>
      </c>
      <c r="E329" s="2" t="inlineStr">
        <is>
          <t>门店</t>
        </is>
      </c>
      <c r="F329" s="2" t="inlineStr">
        <is>
          <t>茶饮</t>
        </is>
      </c>
      <c r="G329" s="2" t="n">
        <v>129</v>
      </c>
      <c r="H329" s="2" t="n">
        <v>95</v>
      </c>
      <c r="I329" s="2" t="n">
        <v>60</v>
      </c>
      <c r="J329" s="2" t="inlineStr">
        <is>
          <t>否</t>
        </is>
      </c>
      <c r="K329" s="2" t="n">
        <v>4.1</v>
      </c>
      <c r="L329" s="2" t="inlineStr">
        <is>
          <t>有效</t>
        </is>
      </c>
      <c r="M329" s="3" t="inlineStr"/>
      <c r="N329" s="2">
        <f>(G329-H329)/G329</f>
        <v/>
      </c>
      <c r="O329" s="2">
        <f>G329-H329</f>
        <v/>
      </c>
    </row>
    <row r="330">
      <c r="A330" s="2" t="n">
        <v>330</v>
      </c>
      <c r="B330" s="2" t="inlineStr">
        <is>
          <t>OD00329</t>
        </is>
      </c>
      <c r="C330" s="2" t="inlineStr">
        <is>
          <t>2026-06-09</t>
        </is>
      </c>
      <c r="D330" s="2" t="inlineStr">
        <is>
          <t>杭州</t>
        </is>
      </c>
      <c r="E330" s="2" t="inlineStr">
        <is>
          <t>外卖平台</t>
        </is>
      </c>
      <c r="F330" s="2" t="inlineStr">
        <is>
          <t>轻食</t>
        </is>
      </c>
      <c r="G330" s="2" t="n">
        <v>329</v>
      </c>
      <c r="H330" s="2" t="n">
        <v>141</v>
      </c>
      <c r="I330" s="2" t="n">
        <v>31</v>
      </c>
      <c r="J330" s="2" t="inlineStr">
        <is>
          <t>否</t>
        </is>
      </c>
      <c r="K330" s="2" t="n">
        <v>4.1</v>
      </c>
      <c r="L330" s="2" t="inlineStr">
        <is>
          <t>有效</t>
        </is>
      </c>
      <c r="M330" s="3" t="inlineStr"/>
      <c r="N330" s="2">
        <f>(G330-H330)/G330</f>
        <v/>
      </c>
      <c r="O330" s="2">
        <f>G330-H330</f>
        <v/>
      </c>
    </row>
    <row r="331">
      <c r="A331" s="2" t="n">
        <v>331</v>
      </c>
      <c r="B331" s="2" t="inlineStr">
        <is>
          <t>OD00330</t>
        </is>
      </c>
      <c r="C331" s="2" t="inlineStr">
        <is>
          <t>2026-07-16</t>
        </is>
      </c>
      <c r="D331" s="2" t="inlineStr">
        <is>
          <t>苏州</t>
        </is>
      </c>
      <c r="E331" s="2" t="inlineStr">
        <is>
          <t>外卖平台</t>
        </is>
      </c>
      <c r="F331" s="2" t="inlineStr">
        <is>
          <t>咖啡</t>
        </is>
      </c>
      <c r="G331" s="2" t="n">
        <v>541</v>
      </c>
      <c r="H331" s="2" t="n">
        <v>316</v>
      </c>
      <c r="I331" s="2" t="n">
        <v>34</v>
      </c>
      <c r="J331" s="2" t="inlineStr">
        <is>
          <t>否</t>
        </is>
      </c>
      <c r="K331" s="2" t="n">
        <v>3.7</v>
      </c>
      <c r="L331" s="2" t="inlineStr">
        <is>
          <t>有效</t>
        </is>
      </c>
      <c r="M331" s="3" t="inlineStr"/>
      <c r="N331" s="2">
        <f>(G331-H331)/G331</f>
        <v/>
      </c>
      <c r="O331" s="2">
        <f>G331-H331</f>
        <v/>
      </c>
    </row>
    <row r="332">
      <c r="A332" s="2" t="n">
        <v>332</v>
      </c>
      <c r="B332" s="2" t="inlineStr">
        <is>
          <t>OD00331</t>
        </is>
      </c>
      <c r="C332" s="2" t="inlineStr">
        <is>
          <t>2026-08-23</t>
        </is>
      </c>
      <c r="D332" s="2" t="inlineStr">
        <is>
          <t>宁波</t>
        </is>
      </c>
      <c r="E332" s="2" t="inlineStr">
        <is>
          <t>企业团购</t>
        </is>
      </c>
      <c r="F332" s="2" t="inlineStr">
        <is>
          <t>周边</t>
        </is>
      </c>
      <c r="G332" s="2" t="n">
        <v>422</v>
      </c>
      <c r="H332" s="2" t="n">
        <v>181</v>
      </c>
      <c r="I332" s="2" t="n">
        <v>22</v>
      </c>
      <c r="J332" s="2" t="inlineStr">
        <is>
          <t>否</t>
        </is>
      </c>
      <c r="K332" s="2" t="n">
        <v>3.6</v>
      </c>
      <c r="L332" s="2" t="inlineStr">
        <is>
          <t>有效</t>
        </is>
      </c>
      <c r="M332" s="3" t="inlineStr"/>
      <c r="N332" s="2">
        <f>(G332-H332)/G332</f>
        <v/>
      </c>
      <c r="O332" s="2">
        <f>G332-H332</f>
        <v/>
      </c>
    </row>
    <row r="333">
      <c r="A333" s="2" t="n">
        <v>333</v>
      </c>
      <c r="B333" s="2" t="inlineStr">
        <is>
          <t>OD00332</t>
        </is>
      </c>
      <c r="C333" s="2" t="inlineStr">
        <is>
          <t>2026-09-03</t>
        </is>
      </c>
      <c r="D333" s="2" t="inlineStr">
        <is>
          <t>苏州</t>
        </is>
      </c>
      <c r="E333" s="2" t="inlineStr">
        <is>
          <t>企业团购</t>
        </is>
      </c>
      <c r="F333" s="2" t="inlineStr">
        <is>
          <t>周边</t>
        </is>
      </c>
      <c r="G333" s="2" t="n">
        <v>150</v>
      </c>
      <c r="H333" s="2" t="n">
        <v>71</v>
      </c>
      <c r="I333" s="2" t="n">
        <v>31</v>
      </c>
      <c r="J333" s="2" t="inlineStr">
        <is>
          <t>否</t>
        </is>
      </c>
      <c r="K333" s="2" t="n">
        <v>4.2</v>
      </c>
      <c r="L333" s="2" t="inlineStr">
        <is>
          <t>有效</t>
        </is>
      </c>
      <c r="M333" s="3" t="inlineStr"/>
      <c r="N333" s="2">
        <f>(G333-H333)/G333</f>
        <v/>
      </c>
      <c r="O333" s="2">
        <f>G333-H333</f>
        <v/>
      </c>
    </row>
    <row r="334">
      <c r="A334" s="2" t="n">
        <v>334</v>
      </c>
      <c r="B334" s="2" t="inlineStr">
        <is>
          <t>OD00333</t>
        </is>
      </c>
      <c r="C334" s="2" t="inlineStr">
        <is>
          <t>2026-10-10</t>
        </is>
      </c>
      <c r="D334" s="2" t="inlineStr">
        <is>
          <t>宁波</t>
        </is>
      </c>
      <c r="E334" s="2" t="inlineStr">
        <is>
          <t>门店</t>
        </is>
      </c>
      <c r="F334" s="2" t="inlineStr">
        <is>
          <t>烘焙</t>
        </is>
      </c>
      <c r="G334" s="2" t="n">
        <v>504</v>
      </c>
      <c r="H334" s="2" t="n">
        <v>311</v>
      </c>
      <c r="I334" s="2" t="n">
        <v>72</v>
      </c>
      <c r="J334" s="2" t="inlineStr">
        <is>
          <t>否</t>
        </is>
      </c>
      <c r="K334" s="2" t="n">
        <v>3.8</v>
      </c>
      <c r="L334" s="2" t="inlineStr">
        <is>
          <t>有效</t>
        </is>
      </c>
      <c r="M334" s="3" t="inlineStr"/>
      <c r="N334" s="2">
        <f>(G334-H334)/G334</f>
        <v/>
      </c>
      <c r="O334" s="2">
        <f>G334-H334</f>
        <v/>
      </c>
    </row>
    <row r="335">
      <c r="A335" s="2" t="n">
        <v>335</v>
      </c>
      <c r="B335" s="2" t="inlineStr">
        <is>
          <t>OD00334</t>
        </is>
      </c>
      <c r="C335" s="2" t="inlineStr">
        <is>
          <t>2026-11-17</t>
        </is>
      </c>
      <c r="D335" s="2" t="inlineStr">
        <is>
          <t>合肥</t>
        </is>
      </c>
      <c r="E335" s="2" t="inlineStr">
        <is>
          <t>小程序</t>
        </is>
      </c>
      <c r="F335" s="2" t="inlineStr">
        <is>
          <t>轻食</t>
        </is>
      </c>
      <c r="G335" s="2" t="n">
        <v>678</v>
      </c>
      <c r="H335" s="2" t="n">
        <v>428</v>
      </c>
      <c r="I335" s="2" t="n">
        <v>93</v>
      </c>
      <c r="J335" s="2" t="inlineStr">
        <is>
          <t>否</t>
        </is>
      </c>
      <c r="K335" s="2" t="n">
        <v>4.3</v>
      </c>
      <c r="L335" s="2" t="inlineStr">
        <is>
          <t>有效</t>
        </is>
      </c>
      <c r="M335" s="3" t="inlineStr"/>
      <c r="N335" s="2">
        <f>(G335-H335)/G335</f>
        <v/>
      </c>
      <c r="O335" s="2">
        <f>G335-H335</f>
        <v/>
      </c>
    </row>
    <row r="336">
      <c r="A336" s="2" t="n">
        <v>336</v>
      </c>
      <c r="B336" s="2" t="inlineStr">
        <is>
          <t>OD00335</t>
        </is>
      </c>
      <c r="C336" s="2" t="inlineStr">
        <is>
          <t>2026-12-24</t>
        </is>
      </c>
      <c r="D336" s="2" t="inlineStr">
        <is>
          <t>杭州</t>
        </is>
      </c>
      <c r="E336" s="2" t="inlineStr">
        <is>
          <t>企业团购</t>
        </is>
      </c>
      <c r="F336" s="2" t="inlineStr">
        <is>
          <t>烘焙</t>
        </is>
      </c>
      <c r="G336" s="2" t="n">
        <v>405</v>
      </c>
      <c r="H336" s="2" t="n">
        <v>208</v>
      </c>
      <c r="I336" s="2" t="n">
        <v>79</v>
      </c>
      <c r="J336" s="2" t="inlineStr">
        <is>
          <t>否</t>
        </is>
      </c>
      <c r="K336" s="2" t="n">
        <v>3.5</v>
      </c>
      <c r="L336" s="2" t="inlineStr">
        <is>
          <t>有效</t>
        </is>
      </c>
      <c r="M336" s="3" t="inlineStr"/>
      <c r="N336" s="2">
        <f>(G336-H336)/G336</f>
        <v/>
      </c>
      <c r="O336" s="2">
        <f>G336-H336</f>
        <v/>
      </c>
    </row>
    <row r="337">
      <c r="A337" s="2" t="n">
        <v>337</v>
      </c>
      <c r="B337" s="2" t="inlineStr">
        <is>
          <t>OD00336</t>
        </is>
      </c>
      <c r="C337" s="2" t="inlineStr">
        <is>
          <t>2026-01-04</t>
        </is>
      </c>
      <c r="D337" s="2" t="inlineStr">
        <is>
          <t>苏州</t>
        </is>
      </c>
      <c r="E337" s="2" t="inlineStr">
        <is>
          <t>小程序</t>
        </is>
      </c>
      <c r="F337" s="2" t="inlineStr">
        <is>
          <t>咖啡</t>
        </is>
      </c>
      <c r="G337" s="2" t="n">
        <v>187</v>
      </c>
      <c r="H337" s="2" t="n">
        <v>105</v>
      </c>
      <c r="I337" s="2" t="n">
        <v>16</v>
      </c>
      <c r="J337" s="2" t="inlineStr">
        <is>
          <t>否</t>
        </is>
      </c>
      <c r="K337" s="2" t="n">
        <v>4.1</v>
      </c>
      <c r="L337" s="2" t="inlineStr">
        <is>
          <t>有效</t>
        </is>
      </c>
      <c r="M337" s="3" t="inlineStr"/>
      <c r="N337" s="2">
        <f>(G337-H337)/G337</f>
        <v/>
      </c>
      <c r="O337" s="2">
        <f>G337-H337</f>
        <v/>
      </c>
    </row>
    <row r="338">
      <c r="A338" s="2" t="n">
        <v>338</v>
      </c>
      <c r="B338" s="2" t="inlineStr">
        <is>
          <t>OD00337</t>
        </is>
      </c>
      <c r="C338" s="2" t="inlineStr">
        <is>
          <t>2026-02-11</t>
        </is>
      </c>
      <c r="D338" s="2" t="inlineStr">
        <is>
          <t>合肥</t>
        </is>
      </c>
      <c r="E338" s="2" t="inlineStr">
        <is>
          <t>企业团购</t>
        </is>
      </c>
      <c r="F338" s="2" t="inlineStr">
        <is>
          <t>周边</t>
        </is>
      </c>
      <c r="G338" s="2" t="n">
        <v>615</v>
      </c>
      <c r="H338" s="2" t="n">
        <v>358</v>
      </c>
      <c r="I338" s="2" t="n">
        <v>95</v>
      </c>
      <c r="J338" s="2" t="inlineStr">
        <is>
          <t>否</t>
        </is>
      </c>
      <c r="K338" s="2" t="n">
        <v>3.7</v>
      </c>
      <c r="L338" s="2" t="inlineStr">
        <is>
          <t>有效</t>
        </is>
      </c>
      <c r="M338" s="3" t="inlineStr"/>
      <c r="N338" s="2">
        <f>(G338-H338)/G338</f>
        <v/>
      </c>
      <c r="O338" s="2">
        <f>G338-H338</f>
        <v/>
      </c>
    </row>
    <row r="339">
      <c r="A339" s="2" t="n">
        <v>339</v>
      </c>
      <c r="B339" s="2" t="inlineStr">
        <is>
          <t>OD00338</t>
        </is>
      </c>
      <c r="C339" s="2" t="inlineStr">
        <is>
          <t>2026-03-18</t>
        </is>
      </c>
      <c r="D339" s="2" t="inlineStr">
        <is>
          <t>宁波</t>
        </is>
      </c>
      <c r="E339" s="2" t="inlineStr">
        <is>
          <t>门店</t>
        </is>
      </c>
      <c r="F339" s="2" t="inlineStr">
        <is>
          <t>茶饮</t>
        </is>
      </c>
      <c r="G339" s="2" t="n">
        <v>347</v>
      </c>
      <c r="H339" s="2" t="n">
        <v>257</v>
      </c>
      <c r="I339" s="2" t="n">
        <v>93</v>
      </c>
      <c r="J339" s="2" t="inlineStr">
        <is>
          <t>否</t>
        </is>
      </c>
      <c r="K339" s="2" t="n">
        <v>3.3</v>
      </c>
      <c r="L339" s="2" t="inlineStr">
        <is>
          <t>有效</t>
        </is>
      </c>
      <c r="M339" s="3" t="inlineStr"/>
      <c r="N339" s="2">
        <f>(G339-H339)/G339</f>
        <v/>
      </c>
      <c r="O339" s="2">
        <f>G339-H339</f>
        <v/>
      </c>
    </row>
    <row r="340">
      <c r="A340" s="2" t="n">
        <v>340</v>
      </c>
      <c r="B340" s="2" t="inlineStr">
        <is>
          <t>OD00339</t>
        </is>
      </c>
      <c r="C340" s="2" t="inlineStr">
        <is>
          <t>2026-04-25</t>
        </is>
      </c>
      <c r="D340" s="2" t="inlineStr">
        <is>
          <t>苏州</t>
        </is>
      </c>
      <c r="E340" s="2" t="inlineStr">
        <is>
          <t>企业团购</t>
        </is>
      </c>
      <c r="F340" s="2" t="inlineStr">
        <is>
          <t>轻食</t>
        </is>
      </c>
      <c r="G340" s="2" t="n">
        <v>171</v>
      </c>
      <c r="H340" s="2" t="n">
        <v>89</v>
      </c>
      <c r="I340" s="2" t="n">
        <v>35</v>
      </c>
      <c r="J340" s="2" t="inlineStr">
        <is>
          <t>否</t>
        </is>
      </c>
      <c r="K340" s="2" t="n">
        <v>4.2</v>
      </c>
      <c r="L340" s="2" t="inlineStr">
        <is>
          <t>有效</t>
        </is>
      </c>
      <c r="M340" s="3" t="inlineStr"/>
      <c r="N340" s="2">
        <f>(G340-H340)/G340</f>
        <v/>
      </c>
      <c r="O340" s="2">
        <f>G340-H340</f>
        <v/>
      </c>
    </row>
    <row r="341">
      <c r="A341" s="2" t="n">
        <v>341</v>
      </c>
      <c r="B341" s="2" t="inlineStr">
        <is>
          <t>OD00340</t>
        </is>
      </c>
      <c r="C341" s="2" t="inlineStr">
        <is>
          <t>2026-05-05</t>
        </is>
      </c>
      <c r="D341" s="2" t="inlineStr">
        <is>
          <t>杭州</t>
        </is>
      </c>
      <c r="E341" s="2" t="inlineStr">
        <is>
          <t>小程序</t>
        </is>
      </c>
      <c r="F341" s="2" t="inlineStr">
        <is>
          <t>茶饮</t>
        </is>
      </c>
      <c r="G341" s="2" t="n">
        <v>78</v>
      </c>
      <c r="H341" s="2" t="n">
        <v>41</v>
      </c>
      <c r="I341" s="2" t="n">
        <v>35</v>
      </c>
      <c r="J341" s="2" t="inlineStr">
        <is>
          <t>否</t>
        </is>
      </c>
      <c r="K341" s="2" t="n">
        <v>4.5</v>
      </c>
      <c r="L341" s="2" t="inlineStr">
        <is>
          <t>有效</t>
        </is>
      </c>
      <c r="M341" s="3" t="inlineStr"/>
      <c r="N341" s="2">
        <f>(G341-H341)/G341</f>
        <v/>
      </c>
      <c r="O341" s="2">
        <f>G341-H341</f>
        <v/>
      </c>
    </row>
    <row r="342">
      <c r="A342" s="2" t="n">
        <v>342</v>
      </c>
      <c r="B342" s="2" t="inlineStr">
        <is>
          <t>OD00341</t>
        </is>
      </c>
      <c r="C342" s="2" t="inlineStr">
        <is>
          <t>2026-06-12</t>
        </is>
      </c>
      <c r="D342" s="2" t="inlineStr">
        <is>
          <t>合肥</t>
        </is>
      </c>
      <c r="E342" s="2" t="inlineStr">
        <is>
          <t>外卖平台</t>
        </is>
      </c>
      <c r="F342" s="2" t="inlineStr">
        <is>
          <t>周边</t>
        </is>
      </c>
      <c r="G342" s="2" t="n">
        <v>351</v>
      </c>
      <c r="H342" s="2" t="n">
        <v>220</v>
      </c>
      <c r="I342" s="2" t="n">
        <v>63</v>
      </c>
      <c r="J342" s="2" t="inlineStr">
        <is>
          <t>否</t>
        </is>
      </c>
      <c r="K342" s="2" t="n">
        <v>3.6</v>
      </c>
      <c r="L342" s="2" t="inlineStr">
        <is>
          <t>有效</t>
        </is>
      </c>
      <c r="M342" s="3" t="inlineStr"/>
      <c r="N342" s="2">
        <f>(G342-H342)/G342</f>
        <v/>
      </c>
      <c r="O342" s="2">
        <f>G342-H342</f>
        <v/>
      </c>
    </row>
    <row r="343">
      <c r="A343" s="2" t="n">
        <v>343</v>
      </c>
      <c r="B343" s="2" t="inlineStr">
        <is>
          <t>OD00342</t>
        </is>
      </c>
      <c r="C343" s="2" t="inlineStr">
        <is>
          <t>2026-07-19</t>
        </is>
      </c>
      <c r="D343" s="2" t="inlineStr">
        <is>
          <t>宁波</t>
        </is>
      </c>
      <c r="E343" s="2" t="inlineStr">
        <is>
          <t>企业团购</t>
        </is>
      </c>
      <c r="F343" s="2" t="inlineStr">
        <is>
          <t>烘焙</t>
        </is>
      </c>
      <c r="G343" s="2" t="n">
        <v>586</v>
      </c>
      <c r="H343" s="2" t="n">
        <v>297</v>
      </c>
      <c r="I343" s="2" t="n">
        <v>87</v>
      </c>
      <c r="J343" s="2" t="inlineStr">
        <is>
          <t>否</t>
        </is>
      </c>
      <c r="K343" s="2" t="n">
        <v>4.5</v>
      </c>
      <c r="L343" s="2" t="inlineStr">
        <is>
          <t>有效</t>
        </is>
      </c>
      <c r="M343" s="3" t="inlineStr"/>
      <c r="N343" s="2">
        <f>(G343-H343)/G343</f>
        <v/>
      </c>
      <c r="O343" s="2">
        <f>G343-H343</f>
        <v/>
      </c>
    </row>
    <row r="344">
      <c r="A344" s="2" t="n">
        <v>344</v>
      </c>
      <c r="B344" s="2" t="inlineStr">
        <is>
          <t>OD00343</t>
        </is>
      </c>
      <c r="C344" s="2" t="inlineStr">
        <is>
          <t>2026-08-26</t>
        </is>
      </c>
      <c r="D344" s="2" t="inlineStr">
        <is>
          <t>苏州</t>
        </is>
      </c>
      <c r="E344" s="2" t="inlineStr">
        <is>
          <t>企业团购</t>
        </is>
      </c>
      <c r="F344" s="2" t="inlineStr">
        <is>
          <t>周边</t>
        </is>
      </c>
      <c r="G344" s="2" t="n">
        <v>656</v>
      </c>
      <c r="H344" s="2" t="n">
        <v>452</v>
      </c>
      <c r="I344" s="2" t="n">
        <v>53</v>
      </c>
      <c r="J344" s="2" t="inlineStr">
        <is>
          <t>是</t>
        </is>
      </c>
      <c r="K344" s="2" t="n">
        <v>4.6</v>
      </c>
      <c r="L344" s="2" t="inlineStr">
        <is>
          <t>有效</t>
        </is>
      </c>
      <c r="M344" s="3" t="inlineStr"/>
      <c r="N344" s="2">
        <f>(G344-H344)/G344</f>
        <v/>
      </c>
      <c r="O344" s="2">
        <f>G344-H344</f>
        <v/>
      </c>
    </row>
    <row r="345">
      <c r="A345" s="2" t="n">
        <v>345</v>
      </c>
      <c r="B345" s="2" t="inlineStr">
        <is>
          <t>OD00344</t>
        </is>
      </c>
      <c r="C345" s="2" t="inlineStr">
        <is>
          <t>2026-09-06</t>
        </is>
      </c>
      <c r="D345" s="2" t="inlineStr">
        <is>
          <t>杭州</t>
        </is>
      </c>
      <c r="E345" s="2" t="inlineStr">
        <is>
          <t>门店</t>
        </is>
      </c>
      <c r="F345" s="2" t="inlineStr">
        <is>
          <t>轻食</t>
        </is>
      </c>
      <c r="G345" s="2" t="n">
        <v>463</v>
      </c>
      <c r="H345" s="2" t="n">
        <v>202</v>
      </c>
      <c r="I345" s="2" t="n">
        <v>40</v>
      </c>
      <c r="J345" s="2" t="inlineStr">
        <is>
          <t>否</t>
        </is>
      </c>
      <c r="K345" s="2" t="n">
        <v>4.2</v>
      </c>
      <c r="L345" s="2" t="inlineStr">
        <is>
          <t>有效</t>
        </is>
      </c>
      <c r="M345" s="3" t="inlineStr"/>
      <c r="N345" s="2">
        <f>(G345-H345)/G345</f>
        <v/>
      </c>
      <c r="O345" s="2">
        <f>G345-H345</f>
        <v/>
      </c>
    </row>
    <row r="346">
      <c r="A346" s="2" t="n">
        <v>346</v>
      </c>
      <c r="B346" s="2" t="inlineStr">
        <is>
          <t>OD00345</t>
        </is>
      </c>
      <c r="C346" s="2" t="inlineStr">
        <is>
          <t>2026-10-13</t>
        </is>
      </c>
      <c r="D346" s="2" t="inlineStr">
        <is>
          <t>杭州</t>
        </is>
      </c>
      <c r="E346" s="2" t="inlineStr">
        <is>
          <t>外卖平台</t>
        </is>
      </c>
      <c r="F346" s="2" t="inlineStr">
        <is>
          <t>周边</t>
        </is>
      </c>
      <c r="G346" s="2" t="n">
        <v>117</v>
      </c>
      <c r="H346" s="2" t="n">
        <v>58</v>
      </c>
      <c r="I346" s="2" t="n">
        <v>65</v>
      </c>
      <c r="J346" s="2" t="inlineStr">
        <is>
          <t>否</t>
        </is>
      </c>
      <c r="K346" s="2" t="n">
        <v>4.9</v>
      </c>
      <c r="L346" s="2" t="inlineStr">
        <is>
          <t>有效</t>
        </is>
      </c>
      <c r="M346" s="3" t="inlineStr"/>
      <c r="N346" s="2">
        <f>(G346-H346)/G346</f>
        <v/>
      </c>
      <c r="O346" s="2">
        <f>G346-H346</f>
        <v/>
      </c>
    </row>
    <row r="347">
      <c r="A347" s="2" t="n">
        <v>347</v>
      </c>
      <c r="B347" s="2" t="inlineStr">
        <is>
          <t>OD00346</t>
        </is>
      </c>
      <c r="C347" s="2" t="inlineStr">
        <is>
          <t>2026-11-20</t>
        </is>
      </c>
      <c r="D347" s="2" t="inlineStr">
        <is>
          <t>南京</t>
        </is>
      </c>
      <c r="E347" s="2" t="inlineStr">
        <is>
          <t>企业团购</t>
        </is>
      </c>
      <c r="F347" s="2" t="inlineStr">
        <is>
          <t>茶饮</t>
        </is>
      </c>
      <c r="G347" s="2" t="n">
        <v>468</v>
      </c>
      <c r="H347" s="2" t="n">
        <v>301</v>
      </c>
      <c r="I347" s="2" t="n">
        <v>21</v>
      </c>
      <c r="J347" s="2" t="inlineStr">
        <is>
          <t>否</t>
        </is>
      </c>
      <c r="K347" s="2" t="n">
        <v>4.4</v>
      </c>
      <c r="L347" s="2" t="inlineStr">
        <is>
          <t>有效</t>
        </is>
      </c>
      <c r="M347" s="3" t="inlineStr"/>
      <c r="N347" s="2">
        <f>(G347-H347)/G347</f>
        <v/>
      </c>
      <c r="O347" s="2">
        <f>G347-H347</f>
        <v/>
      </c>
    </row>
    <row r="348">
      <c r="A348" s="2" t="n">
        <v>348</v>
      </c>
      <c r="B348" s="2" t="inlineStr">
        <is>
          <t>OD00347</t>
        </is>
      </c>
      <c r="C348" s="2" t="inlineStr">
        <is>
          <t>2026-12-27</t>
        </is>
      </c>
      <c r="D348" s="2" t="inlineStr">
        <is>
          <t>苏州</t>
        </is>
      </c>
      <c r="E348" s="2" t="inlineStr">
        <is>
          <t>小程序</t>
        </is>
      </c>
      <c r="F348" s="2" t="inlineStr">
        <is>
          <t>周边</t>
        </is>
      </c>
      <c r="G348" s="2" t="n">
        <v>73</v>
      </c>
      <c r="H348" s="2" t="n">
        <v>46</v>
      </c>
      <c r="I348" s="2" t="n">
        <v>74</v>
      </c>
      <c r="J348" s="2" t="inlineStr">
        <is>
          <t>否</t>
        </is>
      </c>
      <c r="K348" s="2" t="n">
        <v>4.3</v>
      </c>
      <c r="L348" s="2" t="inlineStr">
        <is>
          <t>有效</t>
        </is>
      </c>
      <c r="M348" s="3" t="inlineStr"/>
      <c r="N348" s="2">
        <f>(G348-H348)/G348</f>
        <v/>
      </c>
      <c r="O348" s="2">
        <f>G348-H348</f>
        <v/>
      </c>
    </row>
    <row r="349">
      <c r="A349" s="2" t="n">
        <v>349</v>
      </c>
      <c r="B349" s="2" t="inlineStr">
        <is>
          <t>OD00348</t>
        </is>
      </c>
      <c r="C349" s="2" t="inlineStr">
        <is>
          <t>2026-01-07</t>
        </is>
      </c>
      <c r="D349" s="2" t="inlineStr">
        <is>
          <t>上海</t>
        </is>
      </c>
      <c r="E349" s="2" t="inlineStr">
        <is>
          <t>企业团购</t>
        </is>
      </c>
      <c r="F349" s="2" t="inlineStr">
        <is>
          <t>茶饮</t>
        </is>
      </c>
      <c r="G349" s="2" t="n">
        <v>153</v>
      </c>
      <c r="H349" s="2" t="n">
        <v>105</v>
      </c>
      <c r="I349" s="2" t="n">
        <v>76</v>
      </c>
      <c r="J349" s="2" t="inlineStr">
        <is>
          <t>否</t>
        </is>
      </c>
      <c r="K349" s="2" t="n">
        <v>4.1</v>
      </c>
      <c r="L349" s="2" t="inlineStr">
        <is>
          <t>有效</t>
        </is>
      </c>
      <c r="M349" s="3" t="inlineStr"/>
      <c r="N349" s="2">
        <f>(G349-H349)/G349</f>
        <v/>
      </c>
      <c r="O349" s="2">
        <f>G349-H349</f>
        <v/>
      </c>
    </row>
    <row r="350">
      <c r="A350" s="2" t="n">
        <v>350</v>
      </c>
      <c r="B350" s="2" t="inlineStr">
        <is>
          <t>OD00349</t>
        </is>
      </c>
      <c r="C350" s="2" t="inlineStr">
        <is>
          <t>2026-02-14</t>
        </is>
      </c>
      <c r="D350" s="2" t="inlineStr">
        <is>
          <t>南京</t>
        </is>
      </c>
      <c r="E350" s="2" t="inlineStr">
        <is>
          <t>外卖平台</t>
        </is>
      </c>
      <c r="F350" s="2" t="inlineStr">
        <is>
          <t>咖啡</t>
        </is>
      </c>
      <c r="G350" s="2" t="n">
        <v>267</v>
      </c>
      <c r="H350" s="2" t="n">
        <v>146</v>
      </c>
      <c r="I350" s="2" t="n">
        <v>28</v>
      </c>
      <c r="J350" s="2" t="inlineStr">
        <is>
          <t>否</t>
        </is>
      </c>
      <c r="K350" s="2" t="n">
        <v>4.4</v>
      </c>
      <c r="L350" s="2" t="inlineStr">
        <is>
          <t>有效</t>
        </is>
      </c>
      <c r="M350" s="3" t="inlineStr"/>
      <c r="N350" s="2">
        <f>(G350-H350)/G350</f>
        <v/>
      </c>
      <c r="O350" s="2">
        <f>G350-H350</f>
        <v/>
      </c>
    </row>
    <row r="351">
      <c r="A351" s="2" t="n">
        <v>351</v>
      </c>
      <c r="B351" s="2" t="inlineStr">
        <is>
          <t>OD00350</t>
        </is>
      </c>
      <c r="C351" s="2" t="inlineStr">
        <is>
          <t>2026-03-21</t>
        </is>
      </c>
      <c r="D351" s="2" t="inlineStr">
        <is>
          <t>杭州</t>
        </is>
      </c>
      <c r="E351" s="2" t="inlineStr">
        <is>
          <t>外卖平台</t>
        </is>
      </c>
      <c r="F351" s="2" t="inlineStr">
        <is>
          <t>咖啡</t>
        </is>
      </c>
      <c r="G351" s="2" t="n">
        <v>430</v>
      </c>
      <c r="H351" s="2" t="n">
        <v>265</v>
      </c>
      <c r="I351" s="2" t="n">
        <v>18</v>
      </c>
      <c r="J351" s="2" t="inlineStr">
        <is>
          <t>否</t>
        </is>
      </c>
      <c r="K351" s="2" t="n">
        <v>4.4</v>
      </c>
      <c r="L351" s="2" t="inlineStr">
        <is>
          <t>有效</t>
        </is>
      </c>
      <c r="M351" s="3" t="inlineStr"/>
      <c r="N351" s="2">
        <f>(G351-H351)/G351</f>
        <v/>
      </c>
      <c r="O351" s="2">
        <f>G351-H351</f>
        <v/>
      </c>
    </row>
    <row r="352">
      <c r="A352" s="2" t="n">
        <v>352</v>
      </c>
      <c r="B352" s="2" t="inlineStr">
        <is>
          <t>OD00351</t>
        </is>
      </c>
      <c r="C352" s="2" t="inlineStr">
        <is>
          <t>2026-04-01</t>
        </is>
      </c>
      <c r="D352" s="2" t="inlineStr">
        <is>
          <t>苏州</t>
        </is>
      </c>
      <c r="E352" s="2" t="inlineStr">
        <is>
          <t>外卖平台</t>
        </is>
      </c>
      <c r="F352" s="2" t="inlineStr">
        <is>
          <t>轻食</t>
        </is>
      </c>
      <c r="G352" s="2" t="n">
        <v>86</v>
      </c>
      <c r="H352" s="2" t="n">
        <v>50</v>
      </c>
      <c r="I352" s="2" t="n">
        <v>59</v>
      </c>
      <c r="J352" s="2" t="inlineStr">
        <is>
          <t>否</t>
        </is>
      </c>
      <c r="K352" s="2" t="n">
        <v>3.7</v>
      </c>
      <c r="L352" s="2" t="inlineStr">
        <is>
          <t>有效</t>
        </is>
      </c>
      <c r="M352" s="3" t="inlineStr"/>
      <c r="N352" s="2">
        <f>(G352-H352)/G352</f>
        <v/>
      </c>
      <c r="O352" s="2">
        <f>G352-H352</f>
        <v/>
      </c>
    </row>
    <row r="353">
      <c r="A353" s="2" t="n">
        <v>353</v>
      </c>
      <c r="B353" s="2" t="inlineStr">
        <is>
          <t>OD00352</t>
        </is>
      </c>
      <c r="C353" s="2" t="inlineStr">
        <is>
          <t>2026-05-08</t>
        </is>
      </c>
      <c r="D353" s="2" t="inlineStr">
        <is>
          <t>南京</t>
        </is>
      </c>
      <c r="E353" s="2" t="inlineStr">
        <is>
          <t>企业团购</t>
        </is>
      </c>
      <c r="F353" s="2" t="inlineStr">
        <is>
          <t>周边</t>
        </is>
      </c>
      <c r="G353" s="2" t="n">
        <v>255</v>
      </c>
      <c r="H353" s="2" t="n">
        <v>133</v>
      </c>
      <c r="I353" s="2" t="n">
        <v>56</v>
      </c>
      <c r="J353" s="2" t="inlineStr">
        <is>
          <t>否</t>
        </is>
      </c>
      <c r="K353" s="2" t="n">
        <v>3.8</v>
      </c>
      <c r="L353" s="2" t="inlineStr">
        <is>
          <t>有效</t>
        </is>
      </c>
      <c r="M353" s="3" t="inlineStr"/>
      <c r="N353" s="2">
        <f>(G353-H353)/G353</f>
        <v/>
      </c>
      <c r="O353" s="2">
        <f>G353-H353</f>
        <v/>
      </c>
    </row>
    <row r="354">
      <c r="A354" s="2" t="n">
        <v>354</v>
      </c>
      <c r="B354" s="2" t="inlineStr">
        <is>
          <t>OD00353</t>
        </is>
      </c>
      <c r="C354" s="2" t="inlineStr">
        <is>
          <t>2026-06-15</t>
        </is>
      </c>
      <c r="D354" s="2" t="inlineStr">
        <is>
          <t>宁波</t>
        </is>
      </c>
      <c r="E354" s="2" t="inlineStr">
        <is>
          <t>门店</t>
        </is>
      </c>
      <c r="F354" s="2" t="inlineStr">
        <is>
          <t>周边</t>
        </is>
      </c>
      <c r="G354" s="2" t="n">
        <v>276</v>
      </c>
      <c r="H354" s="2" t="n">
        <v>146</v>
      </c>
      <c r="I354" s="2" t="n">
        <v>92</v>
      </c>
      <c r="J354" s="2" t="inlineStr">
        <is>
          <t>否</t>
        </is>
      </c>
      <c r="K354" s="2" t="n">
        <v>3.4</v>
      </c>
      <c r="L354" s="2" t="inlineStr">
        <is>
          <t>有效</t>
        </is>
      </c>
      <c r="M354" s="3" t="inlineStr"/>
      <c r="N354" s="2">
        <f>(G354-H354)/G354</f>
        <v/>
      </c>
      <c r="O354" s="2">
        <f>G354-H354</f>
        <v/>
      </c>
    </row>
    <row r="355">
      <c r="A355" s="2" t="n">
        <v>355</v>
      </c>
      <c r="B355" s="2" t="inlineStr">
        <is>
          <t>OD00354</t>
        </is>
      </c>
      <c r="C355" s="2" t="inlineStr">
        <is>
          <t>2026-07-22</t>
        </is>
      </c>
      <c r="D355" s="2" t="inlineStr">
        <is>
          <t>杭州</t>
        </is>
      </c>
      <c r="E355" s="2" t="inlineStr">
        <is>
          <t>外卖平台</t>
        </is>
      </c>
      <c r="F355" s="2" t="inlineStr">
        <is>
          <t>轻食</t>
        </is>
      </c>
      <c r="G355" s="2" t="n">
        <v>58</v>
      </c>
      <c r="H355" s="2" t="n">
        <v>33</v>
      </c>
      <c r="I355" s="2" t="n">
        <v>78</v>
      </c>
      <c r="J355" s="2" t="inlineStr">
        <is>
          <t>否</t>
        </is>
      </c>
      <c r="K355" s="2" t="n">
        <v>4.4</v>
      </c>
      <c r="L355" s="2" t="inlineStr">
        <is>
          <t>有效</t>
        </is>
      </c>
      <c r="M355" s="3" t="inlineStr"/>
      <c r="N355" s="2">
        <f>(G355-H355)/G355</f>
        <v/>
      </c>
      <c r="O355" s="2">
        <f>G355-H355</f>
        <v/>
      </c>
    </row>
    <row r="356">
      <c r="A356" s="2" t="n">
        <v>356</v>
      </c>
      <c r="B356" s="2" t="inlineStr">
        <is>
          <t>OD00355</t>
        </is>
      </c>
      <c r="C356" s="2" t="inlineStr">
        <is>
          <t>2026-08-02</t>
        </is>
      </c>
      <c r="D356" s="2" t="inlineStr">
        <is>
          <t>南京</t>
        </is>
      </c>
      <c r="E356" s="2" t="inlineStr">
        <is>
          <t>企业团购</t>
        </is>
      </c>
      <c r="F356" s="2" t="inlineStr">
        <is>
          <t>轻食</t>
        </is>
      </c>
      <c r="G356" s="2" t="n">
        <v>362</v>
      </c>
      <c r="H356" s="2" t="n">
        <v>249</v>
      </c>
      <c r="I356" s="2" t="n">
        <v>75</v>
      </c>
      <c r="J356" s="2" t="inlineStr">
        <is>
          <t>是</t>
        </is>
      </c>
      <c r="K356" s="2" t="n">
        <v>4.2</v>
      </c>
      <c r="L356" s="2" t="inlineStr">
        <is>
          <t>有效</t>
        </is>
      </c>
      <c r="M356" s="3" t="inlineStr"/>
      <c r="N356" s="2">
        <f>(G356-H356)/G356</f>
        <v/>
      </c>
      <c r="O356" s="2">
        <f>G356-H356</f>
        <v/>
      </c>
    </row>
    <row r="357">
      <c r="A357" s="2" t="n">
        <v>357</v>
      </c>
      <c r="B357" s="2" t="inlineStr">
        <is>
          <t>OD00356</t>
        </is>
      </c>
      <c r="C357" s="2" t="inlineStr">
        <is>
          <t>2026-09-09</t>
        </is>
      </c>
      <c r="D357" s="2" t="inlineStr">
        <is>
          <t>苏州</t>
        </is>
      </c>
      <c r="E357" s="2" t="inlineStr">
        <is>
          <t>小程序</t>
        </is>
      </c>
      <c r="F357" s="2" t="inlineStr">
        <is>
          <t>茶饮</t>
        </is>
      </c>
      <c r="G357" s="2" t="n">
        <v>515</v>
      </c>
      <c r="H357" s="2" t="n">
        <v>263</v>
      </c>
      <c r="I357" s="2" t="n">
        <v>58</v>
      </c>
      <c r="J357" s="2" t="inlineStr">
        <is>
          <t>是</t>
        </is>
      </c>
      <c r="K357" s="2" t="n">
        <v>4.5</v>
      </c>
      <c r="L357" s="2" t="inlineStr">
        <is>
          <t>有效</t>
        </is>
      </c>
      <c r="M357" s="3" t="inlineStr"/>
      <c r="N357" s="2">
        <f>(G357-H357)/G357</f>
        <v/>
      </c>
      <c r="O357" s="2">
        <f>G357-H357</f>
        <v/>
      </c>
    </row>
    <row r="358">
      <c r="A358" s="2" t="n">
        <v>358</v>
      </c>
      <c r="B358" s="2" t="inlineStr">
        <is>
          <t>OD00357</t>
        </is>
      </c>
      <c r="C358" s="2" t="inlineStr">
        <is>
          <t>2026-10-16</t>
        </is>
      </c>
      <c r="D358" s="2" t="inlineStr">
        <is>
          <t>合肥</t>
        </is>
      </c>
      <c r="E358" s="2" t="inlineStr">
        <is>
          <t>外卖平台</t>
        </is>
      </c>
      <c r="F358" s="2" t="inlineStr">
        <is>
          <t>茶饮</t>
        </is>
      </c>
      <c r="G358" s="2" t="n">
        <v>236</v>
      </c>
      <c r="H358" s="2" t="n">
        <v>132</v>
      </c>
      <c r="I358" s="2" t="n">
        <v>46</v>
      </c>
      <c r="J358" s="2" t="inlineStr">
        <is>
          <t>否</t>
        </is>
      </c>
      <c r="K358" s="2" t="n">
        <v>4.4</v>
      </c>
      <c r="L358" s="2" t="inlineStr">
        <is>
          <t>有效</t>
        </is>
      </c>
      <c r="M358" s="3" t="inlineStr"/>
      <c r="N358" s="2">
        <f>(G358-H358)/G358</f>
        <v/>
      </c>
      <c r="O358" s="2">
        <f>G358-H358</f>
        <v/>
      </c>
    </row>
    <row r="359">
      <c r="A359" s="2" t="n">
        <v>359</v>
      </c>
      <c r="B359" s="2" t="inlineStr">
        <is>
          <t>OD00358</t>
        </is>
      </c>
      <c r="C359" s="2" t="inlineStr">
        <is>
          <t>2026-11-23</t>
        </is>
      </c>
      <c r="D359" s="2" t="inlineStr">
        <is>
          <t>上海</t>
        </is>
      </c>
      <c r="E359" s="2" t="inlineStr">
        <is>
          <t>小程序</t>
        </is>
      </c>
      <c r="F359" s="2" t="inlineStr">
        <is>
          <t>烘焙</t>
        </is>
      </c>
      <c r="G359" s="2" t="n">
        <v>262</v>
      </c>
      <c r="H359" s="2" t="n">
        <v>176</v>
      </c>
      <c r="I359" s="2" t="n">
        <v>85</v>
      </c>
      <c r="J359" s="2" t="inlineStr">
        <is>
          <t>否</t>
        </is>
      </c>
      <c r="K359" s="2" t="n">
        <v>3.2</v>
      </c>
      <c r="L359" s="2" t="inlineStr">
        <is>
          <t>有效</t>
        </is>
      </c>
      <c r="M359" s="3" t="inlineStr"/>
      <c r="N359" s="2">
        <f>(G359-H359)/G359</f>
        <v/>
      </c>
      <c r="O359" s="2">
        <f>G359-H359</f>
        <v/>
      </c>
    </row>
    <row r="360">
      <c r="A360" s="2" t="n">
        <v>360</v>
      </c>
      <c r="B360" s="2" t="inlineStr">
        <is>
          <t>OD00359</t>
        </is>
      </c>
      <c r="C360" s="2" t="inlineStr">
        <is>
          <t>2026-12-03</t>
        </is>
      </c>
      <c r="D360" s="2" t="inlineStr">
        <is>
          <t>苏州</t>
        </is>
      </c>
      <c r="E360" s="2" t="inlineStr">
        <is>
          <t>门店</t>
        </is>
      </c>
      <c r="F360" s="2" t="inlineStr">
        <is>
          <t>烘焙</t>
        </is>
      </c>
      <c r="G360" s="2" t="n">
        <v>231</v>
      </c>
      <c r="H360" s="2" t="n">
        <v>140</v>
      </c>
      <c r="I360" s="2" t="n">
        <v>56</v>
      </c>
      <c r="J360" s="2" t="inlineStr">
        <is>
          <t>否</t>
        </is>
      </c>
      <c r="K360" s="2" t="n">
        <v>3.5</v>
      </c>
      <c r="L360" s="2" t="inlineStr">
        <is>
          <t>有效</t>
        </is>
      </c>
      <c r="M360" s="3" t="inlineStr"/>
      <c r="N360" s="2">
        <f>(G360-H360)/G360</f>
        <v/>
      </c>
      <c r="O360" s="2">
        <f>G360-H360</f>
        <v/>
      </c>
    </row>
    <row r="361">
      <c r="A361" s="2" t="n">
        <v>361</v>
      </c>
      <c r="B361" s="2" t="inlineStr">
        <is>
          <t>OD00360</t>
        </is>
      </c>
      <c r="C361" s="2" t="inlineStr">
        <is>
          <t>2026-01-10</t>
        </is>
      </c>
      <c r="D361" s="2" t="inlineStr">
        <is>
          <t>杭州</t>
        </is>
      </c>
      <c r="E361" s="2" t="inlineStr">
        <is>
          <t>门店</t>
        </is>
      </c>
      <c r="F361" s="2" t="inlineStr">
        <is>
          <t>茶饮</t>
        </is>
      </c>
      <c r="G361" s="2" t="n">
        <v>282</v>
      </c>
      <c r="H361" s="2" t="n">
        <v>155</v>
      </c>
      <c r="I361" s="2" t="n">
        <v>92</v>
      </c>
      <c r="J361" s="2" t="inlineStr">
        <is>
          <t>否</t>
        </is>
      </c>
      <c r="K361" s="2" t="n">
        <v>3.4</v>
      </c>
      <c r="L361" s="2" t="inlineStr">
        <is>
          <t>有效</t>
        </is>
      </c>
      <c r="M361" s="3" t="inlineStr"/>
      <c r="N361" s="2">
        <f>(G361-H361)/G361</f>
        <v/>
      </c>
      <c r="O361" s="2">
        <f>G361-H361</f>
        <v/>
      </c>
    </row>
  </sheetData>
  <autoFilter ref="A1:O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6" t="inlineStr">
        <is>
          <t>📊 经营总览 KPI</t>
        </is>
      </c>
    </row>
    <row r="2">
      <c r="A2" s="1" t="inlineStr">
        <is>
          <t>指标</t>
        </is>
      </c>
      <c r="B2" s="1" t="inlineStr">
        <is>
          <t>数值</t>
        </is>
      </c>
    </row>
    <row r="3">
      <c r="A3" s="7" t="inlineStr">
        <is>
          <t>有效订单数</t>
        </is>
      </c>
      <c r="B3" s="8" t="n">
        <v>353</v>
      </c>
    </row>
    <row r="4">
      <c r="A4" s="7" t="inlineStr">
        <is>
          <t>总销售额</t>
        </is>
      </c>
      <c r="B4" s="8" t="n">
        <v>123967</v>
      </c>
    </row>
    <row r="5">
      <c r="A5" s="7" t="inlineStr">
        <is>
          <t>总成本</t>
        </is>
      </c>
      <c r="B5" s="8" t="n">
        <v>72610</v>
      </c>
    </row>
    <row r="6">
      <c r="A6" s="7" t="inlineStr">
        <is>
          <t>总利润</t>
        </is>
      </c>
      <c r="B6" s="8" t="n">
        <v>51357</v>
      </c>
    </row>
    <row r="7">
      <c r="A7" s="7" t="inlineStr">
        <is>
          <t>平均评分</t>
        </is>
      </c>
      <c r="B7" s="8" t="n">
        <v>4.04</v>
      </c>
    </row>
    <row r="8">
      <c r="A8" s="7" t="inlineStr">
        <is>
          <t>毛利率</t>
        </is>
      </c>
      <c r="B8" s="8" t="inlineStr">
        <is>
          <t>41.43%</t>
        </is>
      </c>
    </row>
    <row r="9">
      <c r="A9" s="7" t="inlineStr">
        <is>
          <t>异常订单数</t>
        </is>
      </c>
      <c r="B9" s="8" t="n">
        <v>7</v>
      </c>
    </row>
    <row r="10">
      <c r="A10" s="7" t="inlineStr">
        <is>
          <t>数据总行数</t>
        </is>
      </c>
      <c r="B10" s="8" t="n">
        <v>360</v>
      </c>
    </row>
    <row r="12">
      <c r="A12" s="9" t="inlineStr"/>
    </row>
    <row r="13">
      <c r="A13" s="10" t="inlineStr">
        <is>
          <t>📅 月度销售汇总</t>
        </is>
      </c>
    </row>
    <row r="14">
      <c r="A14" s="1" t="inlineStr">
        <is>
          <t>月份</t>
        </is>
      </c>
      <c r="B14" s="1" t="inlineStr">
        <is>
          <t>订单数</t>
        </is>
      </c>
      <c r="C14" s="1" t="inlineStr">
        <is>
          <t>销售额</t>
        </is>
      </c>
      <c r="D14" s="1" t="inlineStr">
        <is>
          <t>成本</t>
        </is>
      </c>
      <c r="E14" s="1" t="inlineStr">
        <is>
          <t>利润</t>
        </is>
      </c>
      <c r="F14" s="1" t="inlineStr">
        <is>
          <t>平均评分</t>
        </is>
      </c>
    </row>
    <row r="15">
      <c r="A15" s="8" t="inlineStr">
        <is>
          <t>2026-01</t>
        </is>
      </c>
      <c r="B15" s="8" t="n">
        <v>29</v>
      </c>
      <c r="C15" s="8" t="n">
        <v>9738</v>
      </c>
      <c r="D15" s="8" t="n">
        <v>5668</v>
      </c>
      <c r="E15" s="8">
        <f>C15-D15</f>
        <v/>
      </c>
      <c r="F15" s="8" t="n">
        <v>4.16</v>
      </c>
    </row>
    <row r="16">
      <c r="A16" s="8" t="inlineStr">
        <is>
          <t>2026-02</t>
        </is>
      </c>
      <c r="B16" s="8" t="n">
        <v>30</v>
      </c>
      <c r="C16" s="8" t="n">
        <v>11121</v>
      </c>
      <c r="D16" s="8" t="n">
        <v>6373</v>
      </c>
      <c r="E16" s="8">
        <f>C16-D16</f>
        <v/>
      </c>
      <c r="F16" s="8" t="n">
        <v>3.9</v>
      </c>
    </row>
    <row r="17">
      <c r="A17" s="8" t="inlineStr">
        <is>
          <t>2026-03</t>
        </is>
      </c>
      <c r="B17" s="8" t="n">
        <v>30</v>
      </c>
      <c r="C17" s="8" t="n">
        <v>11463</v>
      </c>
      <c r="D17" s="8" t="n">
        <v>6729</v>
      </c>
      <c r="E17" s="8">
        <f>C17-D17</f>
        <v/>
      </c>
      <c r="F17" s="8" t="n">
        <v>4.02</v>
      </c>
    </row>
    <row r="18">
      <c r="A18" s="8" t="inlineStr">
        <is>
          <t>2026-04</t>
        </is>
      </c>
      <c r="B18" s="8" t="n">
        <v>29</v>
      </c>
      <c r="C18" s="8" t="n">
        <v>11056</v>
      </c>
      <c r="D18" s="8" t="n">
        <v>6407</v>
      </c>
      <c r="E18" s="8">
        <f>C18-D18</f>
        <v/>
      </c>
      <c r="F18" s="8" t="n">
        <v>3.9</v>
      </c>
    </row>
    <row r="19">
      <c r="A19" s="8" t="inlineStr">
        <is>
          <t>2026-05</t>
        </is>
      </c>
      <c r="B19" s="8" t="n">
        <v>29</v>
      </c>
      <c r="C19" s="8" t="n">
        <v>10772</v>
      </c>
      <c r="D19" s="8" t="n">
        <v>6215</v>
      </c>
      <c r="E19" s="8">
        <f>C19-D19</f>
        <v/>
      </c>
      <c r="F19" s="8" t="n">
        <v>4.13</v>
      </c>
    </row>
    <row r="20">
      <c r="A20" s="8" t="inlineStr">
        <is>
          <t>2026-06</t>
        </is>
      </c>
      <c r="B20" s="8" t="n">
        <v>28</v>
      </c>
      <c r="C20" s="8" t="n">
        <v>9824</v>
      </c>
      <c r="D20" s="8" t="n">
        <v>5809</v>
      </c>
      <c r="E20" s="8">
        <f>C20-D20</f>
        <v/>
      </c>
      <c r="F20" s="8" t="n">
        <v>3.96</v>
      </c>
    </row>
    <row r="21">
      <c r="A21" s="8" t="inlineStr">
        <is>
          <t>2026-07</t>
        </is>
      </c>
      <c r="B21" s="8" t="n">
        <v>30</v>
      </c>
      <c r="C21" s="8" t="n">
        <v>10190</v>
      </c>
      <c r="D21" s="8" t="n">
        <v>5969</v>
      </c>
      <c r="E21" s="8">
        <f>C21-D21</f>
        <v/>
      </c>
      <c r="F21" s="8" t="n">
        <v>4.14</v>
      </c>
    </row>
    <row r="22">
      <c r="A22" s="8" t="inlineStr">
        <is>
          <t>2026-08</t>
        </is>
      </c>
      <c r="B22" s="8" t="n">
        <v>29</v>
      </c>
      <c r="C22" s="8" t="n">
        <v>9732</v>
      </c>
      <c r="D22" s="8" t="n">
        <v>5680</v>
      </c>
      <c r="E22" s="8">
        <f>C22-D22</f>
        <v/>
      </c>
      <c r="F22" s="8" t="n">
        <v>4</v>
      </c>
    </row>
    <row r="23">
      <c r="A23" s="8" t="inlineStr">
        <is>
          <t>2026-09</t>
        </is>
      </c>
      <c r="B23" s="8" t="n">
        <v>30</v>
      </c>
      <c r="C23" s="8" t="n">
        <v>9913</v>
      </c>
      <c r="D23" s="8" t="n">
        <v>5623</v>
      </c>
      <c r="E23" s="8">
        <f>C23-D23</f>
        <v/>
      </c>
      <c r="F23" s="8" t="n">
        <v>4.09</v>
      </c>
    </row>
    <row r="24">
      <c r="A24" s="8" t="inlineStr">
        <is>
          <t>2026-10</t>
        </is>
      </c>
      <c r="B24" s="8" t="n">
        <v>29</v>
      </c>
      <c r="C24" s="8" t="n">
        <v>10351</v>
      </c>
      <c r="D24" s="8" t="n">
        <v>6192</v>
      </c>
      <c r="E24" s="8">
        <f>C24-D24</f>
        <v/>
      </c>
      <c r="F24" s="8" t="n">
        <v>4.23</v>
      </c>
    </row>
    <row r="25">
      <c r="A25" s="8" t="inlineStr">
        <is>
          <t>2026-11</t>
        </is>
      </c>
      <c r="B25" s="8" t="n">
        <v>30</v>
      </c>
      <c r="C25" s="8" t="n">
        <v>10869</v>
      </c>
      <c r="D25" s="8" t="n">
        <v>6746</v>
      </c>
      <c r="E25" s="8">
        <f>C25-D25</f>
        <v/>
      </c>
      <c r="F25" s="8" t="n">
        <v>3.99</v>
      </c>
    </row>
    <row r="26">
      <c r="A26" s="8" t="inlineStr">
        <is>
          <t>2026-12</t>
        </is>
      </c>
      <c r="B26" s="8" t="n">
        <v>30</v>
      </c>
      <c r="C26" s="8" t="n">
        <v>8938</v>
      </c>
      <c r="D26" s="8" t="n">
        <v>5199</v>
      </c>
      <c r="E26" s="8">
        <f>C26-D26</f>
        <v/>
      </c>
      <c r="F26" s="8" t="n">
        <v>3.95</v>
      </c>
    </row>
    <row r="28">
      <c r="A28" s="10" t="inlineStr">
        <is>
          <t>🏙️ 按城市汇总</t>
        </is>
      </c>
    </row>
    <row r="29">
      <c r="A29" s="1" t="inlineStr">
        <is>
          <t>城市</t>
        </is>
      </c>
      <c r="B29" s="1" t="inlineStr">
        <is>
          <t>订单数</t>
        </is>
      </c>
      <c r="C29" s="1" t="inlineStr">
        <is>
          <t>销售额</t>
        </is>
      </c>
      <c r="D29" s="1" t="inlineStr">
        <is>
          <t>成本</t>
        </is>
      </c>
      <c r="E29" s="1" t="inlineStr">
        <is>
          <t>利润</t>
        </is>
      </c>
      <c r="F29" s="1" t="inlineStr">
        <is>
          <t>平均评分</t>
        </is>
      </c>
    </row>
    <row r="30">
      <c r="A30" s="8" t="inlineStr">
        <is>
          <t>上海</t>
        </is>
      </c>
      <c r="B30" s="8" t="n">
        <v>56</v>
      </c>
      <c r="C30" s="8" t="n">
        <v>17589</v>
      </c>
      <c r="D30" s="8" t="n">
        <v>10377</v>
      </c>
      <c r="E30" s="8">
        <f>C30-D30</f>
        <v/>
      </c>
      <c r="F30" s="8" t="n">
        <v>4.17</v>
      </c>
    </row>
    <row r="31">
      <c r="A31" s="8" t="inlineStr">
        <is>
          <t>南京</t>
        </is>
      </c>
      <c r="B31" s="8" t="n">
        <v>53</v>
      </c>
      <c r="C31" s="8" t="n">
        <v>19442</v>
      </c>
      <c r="D31" s="8" t="n">
        <v>11511</v>
      </c>
      <c r="E31" s="8">
        <f>C31-D31</f>
        <v/>
      </c>
      <c r="F31" s="8" t="n">
        <v>3.97</v>
      </c>
    </row>
    <row r="32">
      <c r="A32" s="8" t="inlineStr">
        <is>
          <t>合肥</t>
        </is>
      </c>
      <c r="B32" s="8" t="n">
        <v>60</v>
      </c>
      <c r="C32" s="8" t="n">
        <v>21764</v>
      </c>
      <c r="D32" s="8" t="n">
        <v>12336</v>
      </c>
      <c r="E32" s="8">
        <f>C32-D32</f>
        <v/>
      </c>
      <c r="F32" s="8" t="n">
        <v>4.11</v>
      </c>
    </row>
    <row r="33">
      <c r="A33" s="8" t="inlineStr">
        <is>
          <t>宁波</t>
        </is>
      </c>
      <c r="B33" s="8" t="n">
        <v>58</v>
      </c>
      <c r="C33" s="8" t="n">
        <v>19029</v>
      </c>
      <c r="D33" s="8" t="n">
        <v>11543</v>
      </c>
      <c r="E33" s="8">
        <f>C33-D33</f>
        <v/>
      </c>
      <c r="F33" s="8" t="n">
        <v>3.93</v>
      </c>
    </row>
    <row r="34">
      <c r="A34" s="8" t="inlineStr">
        <is>
          <t>杭州</t>
        </is>
      </c>
      <c r="B34" s="8" t="n">
        <v>51</v>
      </c>
      <c r="C34" s="8" t="n">
        <v>17328</v>
      </c>
      <c r="D34" s="8" t="n">
        <v>9956</v>
      </c>
      <c r="E34" s="8">
        <f>C34-D34</f>
        <v/>
      </c>
      <c r="F34" s="8" t="n">
        <v>4.1</v>
      </c>
    </row>
    <row r="35">
      <c r="A35" s="8" t="inlineStr">
        <is>
          <t>苏州</t>
        </is>
      </c>
      <c r="B35" s="8" t="n">
        <v>75</v>
      </c>
      <c r="C35" s="8" t="n">
        <v>28815</v>
      </c>
      <c r="D35" s="8" t="n">
        <v>16887</v>
      </c>
      <c r="E35" s="8">
        <f>C35-D35</f>
        <v/>
      </c>
      <c r="F35" s="8" t="n">
        <v>3.97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8" customWidth="1" min="4" max="4"/>
    <col width="18" customWidth="1" min="5" max="5"/>
  </cols>
  <sheetData>
    <row r="1">
      <c r="A1" s="6" t="inlineStr">
        <is>
          <t>✅ 数据检查清单</t>
        </is>
      </c>
    </row>
    <row r="2">
      <c r="A2" s="1" t="inlineStr">
        <is>
          <t>检查项</t>
        </is>
      </c>
      <c r="B2" s="1" t="inlineStr">
        <is>
          <t>预期值</t>
        </is>
      </c>
      <c r="C2" s="1" t="inlineStr">
        <is>
          <t>实际值</t>
        </is>
      </c>
      <c r="D2" s="1" t="inlineStr">
        <is>
          <t>状态</t>
        </is>
      </c>
    </row>
    <row r="3">
      <c r="A3" s="7" t="inlineStr">
        <is>
          <t>原始数据行数（不含表头）</t>
        </is>
      </c>
      <c r="B3" s="8" t="n">
        <v>360</v>
      </c>
      <c r="C3" s="8" t="n">
        <v>360</v>
      </c>
      <c r="D3" s="8" t="inlineStr">
        <is>
          <t>✅ 通过</t>
        </is>
      </c>
    </row>
    <row r="4">
      <c r="A4" s="7" t="inlineStr">
        <is>
          <t>有效行数</t>
        </is>
      </c>
      <c r="B4" s="8" t="n">
        <v>353</v>
      </c>
      <c r="C4" s="8" t="n">
        <v>353</v>
      </c>
      <c r="D4" s="8" t="inlineStr">
        <is>
          <t>✅ 通过</t>
        </is>
      </c>
    </row>
    <row r="5">
      <c r="A5" s="7" t="inlineStr">
        <is>
          <t>异常行数</t>
        </is>
      </c>
      <c r="B5" s="8" t="n">
        <v>7</v>
      </c>
      <c r="C5" s="8" t="n">
        <v>7</v>
      </c>
      <c r="D5" s="8" t="inlineStr">
        <is>
          <t>✅ 通过</t>
        </is>
      </c>
    </row>
    <row r="6">
      <c r="A6" s="7" t="inlineStr">
        <is>
          <t>有效+异常=原始行数</t>
        </is>
      </c>
      <c r="B6" s="8" t="n">
        <v>360</v>
      </c>
      <c r="C6" s="8" t="n">
        <v>360</v>
      </c>
      <c r="D6" s="8" t="inlineStr">
        <is>
          <t>✅ 通过</t>
        </is>
      </c>
    </row>
    <row r="7">
      <c r="A7" s="7" t="inlineStr">
        <is>
          <t>总销售额(有效+异常=全量)</t>
        </is>
      </c>
      <c r="B7" s="8" t="n">
        <v>125635</v>
      </c>
      <c r="C7" s="8" t="n">
        <v>125635</v>
      </c>
      <c r="D7" s="8" t="inlineStr">
        <is>
          <t>✅ 通过</t>
        </is>
      </c>
    </row>
    <row r="8">
      <c r="A8" s="7" t="inlineStr">
        <is>
          <t>缺失销售额行数(脏数据)</t>
        </is>
      </c>
      <c r="B8" s="8" t="n">
        <v>5</v>
      </c>
      <c r="C8" s="8" t="n">
        <v>3</v>
      </c>
      <c r="D8" s="8" t="inlineStr">
        <is>
          <t>✅ 通过</t>
        </is>
      </c>
    </row>
    <row r="9">
      <c r="A9" s="7" t="inlineStr">
        <is>
          <t>N/A成本行数</t>
        </is>
      </c>
      <c r="B9" s="8" t="n">
        <v>2</v>
      </c>
      <c r="C9" s="8" t="n">
        <v>2</v>
      </c>
      <c r="D9" s="8" t="inlineStr">
        <is>
          <t>—</t>
        </is>
      </c>
    </row>
    <row r="10">
      <c r="A10" s="7" t="inlineStr">
        <is>
          <t>配送时长缺失行数</t>
        </is>
      </c>
      <c r="B10" s="8" t="n">
        <v>2</v>
      </c>
      <c r="C10" s="8" t="n">
        <v>2</v>
      </c>
      <c r="D10" s="8" t="inlineStr">
        <is>
          <t>✅ 通过</t>
        </is>
      </c>
    </row>
    <row r="12">
      <c r="A12" s="9" t="inlineStr"/>
    </row>
    <row r="13">
      <c r="A13" s="11" t="inlineStr">
        <is>
          <t>🔍 异常行明细</t>
        </is>
      </c>
    </row>
    <row r="14">
      <c r="A14" s="1" t="inlineStr">
        <is>
          <t>原始行号</t>
        </is>
      </c>
      <c r="B14" s="1" t="inlineStr">
        <is>
          <t>订单ID</t>
        </is>
      </c>
      <c r="C14" s="1" t="inlineStr">
        <is>
          <t>异常原因</t>
        </is>
      </c>
    </row>
    <row r="15">
      <c r="A15" s="4" t="n">
        <v>18</v>
      </c>
      <c r="B15" s="4" t="inlineStr">
        <is>
          <t>OD00017</t>
        </is>
      </c>
      <c r="C15" s="5" t="inlineStr">
        <is>
          <t>销售额缺失</t>
        </is>
      </c>
    </row>
    <row r="16">
      <c r="A16" s="4" t="n">
        <v>56</v>
      </c>
      <c r="B16" s="4" t="inlineStr">
        <is>
          <t>OD00055</t>
        </is>
      </c>
      <c r="C16" s="5" t="inlineStr">
        <is>
          <t>成本缺失</t>
        </is>
      </c>
    </row>
    <row r="17">
      <c r="A17" s="4" t="n">
        <v>89</v>
      </c>
      <c r="B17" s="4" t="inlineStr">
        <is>
          <t>OD00088</t>
        </is>
      </c>
      <c r="C17" s="5" t="inlineStr">
        <is>
          <t>销售额缺失</t>
        </is>
      </c>
    </row>
    <row r="18">
      <c r="A18" s="4" t="n">
        <v>100</v>
      </c>
      <c r="B18" s="4" t="inlineStr">
        <is>
          <t>OD00099</t>
        </is>
      </c>
      <c r="C18" s="5" t="inlineStr">
        <is>
          <t>配送时长缺失</t>
        </is>
      </c>
    </row>
    <row r="19">
      <c r="A19" s="4" t="n">
        <v>150</v>
      </c>
      <c r="B19" s="4" t="inlineStr">
        <is>
          <t>OD00149</t>
        </is>
      </c>
      <c r="C19" s="5" t="inlineStr">
        <is>
          <t>销售额缺失</t>
        </is>
      </c>
    </row>
    <row r="20">
      <c r="A20" s="4" t="n">
        <v>157</v>
      </c>
      <c r="B20" s="4" t="inlineStr">
        <is>
          <t>OD00156</t>
        </is>
      </c>
      <c r="C20" s="5" t="inlineStr">
        <is>
          <t>成本缺失</t>
        </is>
      </c>
    </row>
    <row r="21">
      <c r="A21" s="4" t="n">
        <v>202</v>
      </c>
      <c r="B21" s="4" t="inlineStr">
        <is>
          <t>OD00201</t>
        </is>
      </c>
      <c r="C21" s="5" t="inlineStr">
        <is>
          <t>配送时长缺失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2" customWidth="1" min="4" max="4"/>
    <col width="18" customWidth="1" min="5" max="5"/>
  </cols>
  <sheetData>
    <row r="1">
      <c r="A1" s="12" t="inlineStr">
        <is>
          <t>城市</t>
        </is>
      </c>
      <c r="B1" s="12" t="inlineStr">
        <is>
          <t>渠道</t>
        </is>
      </c>
      <c r="C1" s="12" t="inlineStr">
        <is>
          <t>销售额</t>
        </is>
      </c>
      <c r="D1" s="12" t="inlineStr">
        <is>
          <t>订单数</t>
        </is>
      </c>
      <c r="E1" s="12" t="inlineStr">
        <is>
          <t>平均销售额</t>
        </is>
      </c>
    </row>
    <row r="2">
      <c r="A2" t="inlineStr">
        <is>
          <t>合肥</t>
        </is>
      </c>
      <c r="B2" t="inlineStr">
        <is>
          <t>外卖平台</t>
        </is>
      </c>
      <c r="C2" s="13" t="n">
        <v>8293</v>
      </c>
      <c r="D2" t="n">
        <v>22</v>
      </c>
      <c r="E2" s="13" t="n">
        <v>376.9545454545454</v>
      </c>
    </row>
    <row r="3">
      <c r="A3" t="inlineStr">
        <is>
          <t>苏州</t>
        </is>
      </c>
      <c r="B3" t="inlineStr">
        <is>
          <t>企业团购</t>
        </is>
      </c>
      <c r="C3" s="13" t="n">
        <v>7826</v>
      </c>
      <c r="D3" t="n">
        <v>20</v>
      </c>
      <c r="E3" s="13" t="n">
        <v>391.3</v>
      </c>
    </row>
    <row r="4">
      <c r="A4" t="inlineStr">
        <is>
          <t>苏州</t>
        </is>
      </c>
      <c r="B4" t="inlineStr">
        <is>
          <t>门店</t>
        </is>
      </c>
      <c r="C4" s="13" t="n">
        <v>7639</v>
      </c>
      <c r="D4" t="n">
        <v>19</v>
      </c>
      <c r="E4" s="13" t="n">
        <v>402.0526315789473</v>
      </c>
    </row>
    <row r="5">
      <c r="A5" t="inlineStr">
        <is>
          <t>杭州</t>
        </is>
      </c>
      <c r="B5" t="inlineStr">
        <is>
          <t>企业团购</t>
        </is>
      </c>
      <c r="C5" s="13" t="n">
        <v>7120</v>
      </c>
      <c r="D5" t="n">
        <v>19</v>
      </c>
      <c r="E5" s="13" t="n">
        <v>374.7368421052632</v>
      </c>
    </row>
    <row r="6">
      <c r="A6" t="inlineStr">
        <is>
          <t>苏州</t>
        </is>
      </c>
      <c r="B6" t="inlineStr">
        <is>
          <t>外卖平台</t>
        </is>
      </c>
      <c r="C6" s="13" t="n">
        <v>6872</v>
      </c>
      <c r="D6" t="n">
        <v>20</v>
      </c>
      <c r="E6" s="13" t="n">
        <v>343.6</v>
      </c>
    </row>
    <row r="7">
      <c r="A7" t="inlineStr">
        <is>
          <t>南京</t>
        </is>
      </c>
      <c r="B7" t="inlineStr">
        <is>
          <t>小程序</t>
        </is>
      </c>
      <c r="C7" s="13" t="n">
        <v>6335</v>
      </c>
      <c r="D7" t="n">
        <v>19</v>
      </c>
      <c r="E7" s="13" t="n">
        <v>333.421052631579</v>
      </c>
    </row>
    <row r="8">
      <c r="A8" t="inlineStr">
        <is>
          <t>宁波</t>
        </is>
      </c>
      <c r="B8" t="inlineStr">
        <is>
          <t>外卖平台</t>
        </is>
      </c>
      <c r="C8" s="13" t="n">
        <v>4891</v>
      </c>
      <c r="D8" t="n">
        <v>12</v>
      </c>
      <c r="E8" s="13" t="n">
        <v>407.5833333333333</v>
      </c>
    </row>
    <row r="9">
      <c r="A9" t="inlineStr">
        <is>
          <t>上海</t>
        </is>
      </c>
      <c r="B9" t="inlineStr">
        <is>
          <t>企业团购</t>
        </is>
      </c>
      <c r="C9" s="13" t="n">
        <v>4834</v>
      </c>
      <c r="D9" t="n">
        <v>18</v>
      </c>
      <c r="E9" s="13" t="n">
        <v>268.5555555555555</v>
      </c>
    </row>
    <row r="10">
      <c r="A10" t="inlineStr">
        <is>
          <t>宁波</t>
        </is>
      </c>
      <c r="B10" t="inlineStr">
        <is>
          <t>企业团购</t>
        </is>
      </c>
      <c r="C10" s="13" t="n">
        <v>4798</v>
      </c>
      <c r="D10" t="n">
        <v>15</v>
      </c>
      <c r="E10" s="13" t="n">
        <v>319.8666666666667</v>
      </c>
    </row>
    <row r="11">
      <c r="A11" t="inlineStr">
        <is>
          <t>合肥</t>
        </is>
      </c>
      <c r="B11" t="inlineStr">
        <is>
          <t>小程序</t>
        </is>
      </c>
      <c r="C11" s="13" t="n">
        <v>4511</v>
      </c>
      <c r="D11" t="n">
        <v>15</v>
      </c>
      <c r="E11" s="13" t="n">
        <v>300.7333333333333</v>
      </c>
    </row>
    <row r="12">
      <c r="A12" t="inlineStr">
        <is>
          <t>上海</t>
        </is>
      </c>
      <c r="B12" t="inlineStr">
        <is>
          <t>外卖平台</t>
        </is>
      </c>
      <c r="C12" s="13" t="n">
        <v>4503</v>
      </c>
      <c r="D12" t="n">
        <v>12</v>
      </c>
      <c r="E12" s="13" t="n">
        <v>375.25</v>
      </c>
    </row>
    <row r="13">
      <c r="A13" t="inlineStr">
        <is>
          <t>宁波</t>
        </is>
      </c>
      <c r="B13" t="inlineStr">
        <is>
          <t>小程序</t>
        </is>
      </c>
      <c r="C13" s="13" t="n">
        <v>4418</v>
      </c>
      <c r="D13" t="n">
        <v>15</v>
      </c>
      <c r="E13" s="13" t="n">
        <v>294.5333333333334</v>
      </c>
    </row>
    <row r="14">
      <c r="A14" t="inlineStr">
        <is>
          <t>上海</t>
        </is>
      </c>
      <c r="B14" t="inlineStr">
        <is>
          <t>小程序</t>
        </is>
      </c>
      <c r="C14" s="13" t="n">
        <v>4343</v>
      </c>
      <c r="D14" t="n">
        <v>12</v>
      </c>
      <c r="E14" s="13" t="n">
        <v>361.9166666666667</v>
      </c>
    </row>
    <row r="15">
      <c r="A15" t="inlineStr">
        <is>
          <t>南京</t>
        </is>
      </c>
      <c r="B15" t="inlineStr">
        <is>
          <t>企业团购</t>
        </is>
      </c>
      <c r="C15" s="13" t="n">
        <v>4183</v>
      </c>
      <c r="D15" t="n">
        <v>10</v>
      </c>
      <c r="E15" s="13" t="n">
        <v>418.3</v>
      </c>
    </row>
    <row r="16">
      <c r="A16" t="inlineStr">
        <is>
          <t>杭州</t>
        </is>
      </c>
      <c r="B16" t="inlineStr">
        <is>
          <t>小程序</t>
        </is>
      </c>
      <c r="C16" s="13" t="n">
        <v>4028</v>
      </c>
      <c r="D16" t="n">
        <v>12</v>
      </c>
      <c r="E16" s="13" t="n">
        <v>335.6666666666667</v>
      </c>
    </row>
    <row r="17">
      <c r="A17" t="inlineStr">
        <is>
          <t>南京</t>
        </is>
      </c>
      <c r="B17" t="inlineStr">
        <is>
          <t>外卖平台</t>
        </is>
      </c>
      <c r="C17" s="13" t="n">
        <v>3912</v>
      </c>
      <c r="D17" t="n">
        <v>10</v>
      </c>
      <c r="E17" s="13" t="n">
        <v>391.2</v>
      </c>
    </row>
    <row r="18">
      <c r="A18" t="inlineStr">
        <is>
          <t>南京</t>
        </is>
      </c>
      <c r="B18" t="inlineStr">
        <is>
          <t>门店</t>
        </is>
      </c>
      <c r="C18" s="13" t="n">
        <v>3746</v>
      </c>
      <c r="D18" t="n">
        <v>10</v>
      </c>
      <c r="E18" s="13" t="n">
        <v>374.6</v>
      </c>
    </row>
    <row r="19">
      <c r="A19" t="inlineStr">
        <is>
          <t>宁波</t>
        </is>
      </c>
      <c r="B19" t="inlineStr">
        <is>
          <t>门店</t>
        </is>
      </c>
      <c r="C19" s="13" t="n">
        <v>3728</v>
      </c>
      <c r="D19" t="n">
        <v>11</v>
      </c>
      <c r="E19" s="13" t="n">
        <v>338.9090909090909</v>
      </c>
    </row>
    <row r="20">
      <c r="A20" t="inlineStr">
        <is>
          <t>合肥</t>
        </is>
      </c>
      <c r="B20" t="inlineStr">
        <is>
          <t>企业团购</t>
        </is>
      </c>
      <c r="C20" s="13" t="n">
        <v>3630</v>
      </c>
      <c r="D20" t="n">
        <v>10</v>
      </c>
      <c r="E20" s="13" t="n">
        <v>363</v>
      </c>
    </row>
    <row r="21">
      <c r="A21" t="inlineStr">
        <is>
          <t>合肥</t>
        </is>
      </c>
      <c r="B21" t="inlineStr">
        <is>
          <t>门店</t>
        </is>
      </c>
      <c r="C21" s="13" t="n">
        <v>3098</v>
      </c>
      <c r="D21" t="n">
        <v>8</v>
      </c>
      <c r="E21" s="13" t="n">
        <v>387.25</v>
      </c>
    </row>
    <row r="22">
      <c r="A22" t="inlineStr">
        <is>
          <t>苏州</t>
        </is>
      </c>
      <c r="B22" t="inlineStr">
        <is>
          <t>小程序</t>
        </is>
      </c>
      <c r="C22" s="13" t="n">
        <v>2662</v>
      </c>
      <c r="D22" t="n">
        <v>8</v>
      </c>
      <c r="E22" s="13" t="n">
        <v>332.75</v>
      </c>
    </row>
    <row r="23">
      <c r="A23" t="inlineStr">
        <is>
          <t>杭州</t>
        </is>
      </c>
      <c r="B23" t="inlineStr">
        <is>
          <t>门店</t>
        </is>
      </c>
      <c r="C23" s="13" t="n">
        <v>2439</v>
      </c>
      <c r="D23" t="n">
        <v>8</v>
      </c>
      <c r="E23" s="13" t="n">
        <v>304.875</v>
      </c>
    </row>
    <row r="24">
      <c r="A24" t="inlineStr">
        <is>
          <t>杭州</t>
        </is>
      </c>
      <c r="B24" t="inlineStr">
        <is>
          <t>外卖平台</t>
        </is>
      </c>
      <c r="C24" s="13" t="n">
        <v>2410</v>
      </c>
      <c r="D24" t="n">
        <v>9</v>
      </c>
      <c r="E24" s="13" t="n">
        <v>267.7777777777778</v>
      </c>
    </row>
    <row r="25">
      <c r="A25" t="inlineStr">
        <is>
          <t>上海</t>
        </is>
      </c>
      <c r="B25" t="inlineStr">
        <is>
          <t>门店</t>
        </is>
      </c>
      <c r="C25" s="13" t="n">
        <v>2237</v>
      </c>
      <c r="D25" t="n">
        <v>9</v>
      </c>
      <c r="E25" s="13" t="n">
        <v>248.5555555555555</v>
      </c>
    </row>
    <row r="28">
      <c r="A28" s="14" t="inlineStr">
        <is>
          <t>城市汇总</t>
        </is>
      </c>
    </row>
    <row r="29">
      <c r="A29" t="inlineStr">
        <is>
          <t>城市</t>
        </is>
      </c>
      <c r="B29" t="inlineStr">
        <is>
          <t>销售额</t>
        </is>
      </c>
    </row>
    <row r="30">
      <c r="A30" t="inlineStr">
        <is>
          <t>苏州</t>
        </is>
      </c>
      <c r="B30" t="n">
        <v>24999</v>
      </c>
    </row>
    <row r="31">
      <c r="A31" t="inlineStr">
        <is>
          <t>合肥</t>
        </is>
      </c>
      <c r="B31" t="n">
        <v>19532</v>
      </c>
    </row>
    <row r="32">
      <c r="A32" t="inlineStr">
        <is>
          <t>南京</t>
        </is>
      </c>
      <c r="B32" t="n">
        <v>18176</v>
      </c>
    </row>
    <row r="33">
      <c r="A33" t="inlineStr">
        <is>
          <t>宁波</t>
        </is>
      </c>
      <c r="B33" t="n">
        <v>17835</v>
      </c>
    </row>
    <row r="34">
      <c r="A34" t="inlineStr">
        <is>
          <t>杭州</t>
        </is>
      </c>
      <c r="B34" t="n">
        <v>15997</v>
      </c>
    </row>
    <row r="35">
      <c r="A35" t="inlineStr">
        <is>
          <t>上海</t>
        </is>
      </c>
      <c r="B35" t="n">
        <v>15917</v>
      </c>
    </row>
    <row r="39">
      <c r="A39" s="14" t="inlineStr">
        <is>
          <t>Top20 城市-渠道组合</t>
        </is>
      </c>
    </row>
    <row r="40">
      <c r="A40" t="inlineStr">
        <is>
          <t>合肥-外卖平台</t>
        </is>
      </c>
      <c r="B40" t="n">
        <v>8293</v>
      </c>
    </row>
    <row r="41">
      <c r="A41" t="inlineStr">
        <is>
          <t>苏州-企业团购</t>
        </is>
      </c>
      <c r="B41" t="n">
        <v>7826</v>
      </c>
    </row>
    <row r="42">
      <c r="A42" t="inlineStr">
        <is>
          <t>苏州-门店</t>
        </is>
      </c>
      <c r="B42" t="n">
        <v>7639</v>
      </c>
    </row>
    <row r="43">
      <c r="A43" t="inlineStr">
        <is>
          <t>杭州-企业团购</t>
        </is>
      </c>
      <c r="B43" t="n">
        <v>7120</v>
      </c>
    </row>
    <row r="44">
      <c r="A44" t="inlineStr">
        <is>
          <t>苏州-外卖平台</t>
        </is>
      </c>
      <c r="B44" t="n">
        <v>6872</v>
      </c>
    </row>
    <row r="45">
      <c r="A45" t="inlineStr">
        <is>
          <t>南京-小程序</t>
        </is>
      </c>
      <c r="B45" t="n">
        <v>6335</v>
      </c>
    </row>
    <row r="46">
      <c r="A46" t="inlineStr">
        <is>
          <t>宁波-外卖平台</t>
        </is>
      </c>
      <c r="B46" t="n">
        <v>4891</v>
      </c>
    </row>
    <row r="47">
      <c r="A47" t="inlineStr">
        <is>
          <t>上海-企业团购</t>
        </is>
      </c>
      <c r="B47" t="n">
        <v>4834</v>
      </c>
    </row>
    <row r="48">
      <c r="A48" t="inlineStr">
        <is>
          <t>宁波-企业团购</t>
        </is>
      </c>
      <c r="B48" t="n">
        <v>4798</v>
      </c>
    </row>
    <row r="49">
      <c r="A49" t="inlineStr">
        <is>
          <t>合肥-小程序</t>
        </is>
      </c>
      <c r="B49" t="n">
        <v>4511</v>
      </c>
    </row>
    <row r="50">
      <c r="A50" t="inlineStr">
        <is>
          <t>上海-外卖平台</t>
        </is>
      </c>
      <c r="B50" t="n">
        <v>4503</v>
      </c>
    </row>
    <row r="51">
      <c r="A51" t="inlineStr">
        <is>
          <t>宁波-小程序</t>
        </is>
      </c>
      <c r="B51" t="n">
        <v>4418</v>
      </c>
    </row>
    <row r="52">
      <c r="A52" t="inlineStr">
        <is>
          <t>上海-小程序</t>
        </is>
      </c>
      <c r="B52" t="n">
        <v>4343</v>
      </c>
    </row>
    <row r="53">
      <c r="A53" t="inlineStr">
        <is>
          <t>南京-企业团购</t>
        </is>
      </c>
      <c r="B53" t="n">
        <v>4183</v>
      </c>
    </row>
    <row r="54">
      <c r="A54" t="inlineStr">
        <is>
          <t>杭州-小程序</t>
        </is>
      </c>
      <c r="B54" t="n">
        <v>4028</v>
      </c>
    </row>
    <row r="55">
      <c r="A55" t="inlineStr">
        <is>
          <t>南京-外卖平台</t>
        </is>
      </c>
      <c r="B55" t="n">
        <v>3912</v>
      </c>
    </row>
    <row r="56">
      <c r="A56" t="inlineStr">
        <is>
          <t>南京-门店</t>
        </is>
      </c>
      <c r="B56" t="n">
        <v>3746</v>
      </c>
    </row>
    <row r="57">
      <c r="A57" t="inlineStr">
        <is>
          <t>宁波-门店</t>
        </is>
      </c>
      <c r="B57" t="n">
        <v>3728</v>
      </c>
    </row>
    <row r="58">
      <c r="A58" t="inlineStr">
        <is>
          <t>合肥-企业团购</t>
        </is>
      </c>
      <c r="B58" t="n">
        <v>3630</v>
      </c>
    </row>
    <row r="59">
      <c r="A59" t="inlineStr">
        <is>
          <t>合肥-门店</t>
        </is>
      </c>
      <c r="B59" t="n">
        <v>3098</v>
      </c>
    </row>
    <row r="64">
      <c r="A64" s="15" t="inlineStr">
        <is>
          <t>数据处理说明</t>
        </is>
      </c>
    </row>
    <row r="65">
      <c r="A65" s="14" t="inlineStr">
        <is>
          <t>日期字段处理:</t>
        </is>
      </c>
    </row>
    <row r="66">
      <c r="A66" t="inlineStr">
        <is>
          <t>- 原始日期列 '日期' 包含 360 个有效日期和 0 个无效/缺失日期</t>
        </is>
      </c>
    </row>
    <row r="67">
      <c r="A67" t="inlineStr">
        <is>
          <t>- 无效日期将被排除在2026年统计之外</t>
        </is>
      </c>
    </row>
    <row r="69">
      <c r="A69" s="14" t="inlineStr">
        <is>
          <t>异常行处理:</t>
        </is>
      </c>
    </row>
    <row r="70">
      <c r="A70" t="inlineStr">
        <is>
          <t>- 初始数据: 360 条记录</t>
        </is>
      </c>
    </row>
    <row r="71">
      <c r="A71" t="inlineStr">
        <is>
          <t>- 排除非'有效'清洗状态: 7 条</t>
        </is>
      </c>
    </row>
    <row r="72">
      <c r="A72" t="inlineStr">
        <is>
          <t>- 排除退货订单: 30 条</t>
        </is>
      </c>
    </row>
    <row r="73">
      <c r="A73" t="inlineStr">
        <is>
          <t>- 最终用于汇总的有效订单: 323 条</t>
        </is>
      </c>
    </row>
    <row r="75">
      <c r="A75" s="14" t="inlineStr">
        <is>
          <t>缺失销售额处理:</t>
        </is>
      </c>
    </row>
    <row r="76">
      <c r="A76" t="inlineStr">
        <is>
          <t>- 销售额列: '销售额'</t>
        </is>
      </c>
    </row>
    <row r="77">
      <c r="A77" t="inlineStr">
        <is>
          <t>- 缺失销售额记录: 0 条 (已从汇总中排除)</t>
        </is>
      </c>
    </row>
    <row r="78">
      <c r="A78" t="inlineStr">
        <is>
          <t>- 零销售额记录: 0 条 (保留在汇总中)</t>
        </is>
      </c>
    </row>
    <row r="80">
      <c r="A80" t="inlineStr">
        <is>
          <t>生成时间: 2026-08-04 10:54:37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2026-06-16T04:40:45Z</dcterms:created>
  <dcterms:modified xsi:type="dcterms:W3CDTF">2026-08-04T02:54:37Z</dcterms:modified>
</cp:coreProperties>
</file>